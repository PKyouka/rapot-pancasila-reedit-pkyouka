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macrosheets/sheet1.xml" ContentType="application/vnd.ms-excel.macrosheet+xml"/>
  <Override PartName="/xl/macrosheets/sheet2.xml" ContentType="application/vnd.ms-excel.macrosheet+xml"/>
  <Override PartName="/xl/macrosheets/sheet3.xml" ContentType="application/vnd.ms-excel.macro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pKyouka\Downloads\"/>
    </mc:Choice>
  </mc:AlternateContent>
  <xr:revisionPtr revIDLastSave="0" documentId="13_ncr:1_{1FA5D167-81F4-4E58-9F7D-8D684F7A6427}" xr6:coauthVersionLast="47" xr6:coauthVersionMax="47" xr10:uidLastSave="{00000000-0000-0000-0000-000000000000}"/>
  <bookViews>
    <workbookView showSheetTabs="0" xWindow="-120" yWindow="-120" windowWidth="24240" windowHeight="13140" xr2:uid="{00000000-000D-0000-FFFF-FFFF00000000}"/>
  </bookViews>
  <sheets>
    <sheet name="COVER" sheetId="1" r:id="rId1"/>
    <sheet name="DESKRIPSI PROYEK" sheetId="28" r:id="rId2"/>
    <sheet name="PROFIL" sheetId="36" r:id="rId3"/>
    <sheet name="IDENTITAS" sheetId="3" r:id="rId4"/>
    <sheet name="Data Siswa" sheetId="4" r:id="rId5"/>
    <sheet name="ISI1" sheetId="31" r:id="rId6"/>
    <sheet name="PROYEK1" sheetId="9" r:id="rId7"/>
    <sheet name="PENILAIAN1" sheetId="15" r:id="rId8"/>
    <sheet name="CAT1" sheetId="29" r:id="rId9"/>
    <sheet name="Sheet6" sheetId="42" r:id="rId10"/>
    <sheet name="Sheet5" sheetId="41" r:id="rId11"/>
    <sheet name="Sheet4" sheetId="40" r:id="rId12"/>
    <sheet name="Sheet3" sheetId="39" r:id="rId13"/>
    <sheet name="Sheet2" sheetId="38" r:id="rId14"/>
    <sheet name="Sheet1" sheetId="37" r:id="rId15"/>
    <sheet name="Macro3" sheetId="45" r:id="rId16"/>
    <sheet name="Macro2" sheetId="44" r:id="rId17"/>
    <sheet name="Macro1" sheetId="43" r:id="rId18"/>
    <sheet name="RAPOR" sheetId="27" r:id="rId19"/>
    <sheet name="ISI2" sheetId="32" r:id="rId20"/>
    <sheet name="PROYEK2" sheetId="10" r:id="rId21"/>
    <sheet name="PENILAIAN2" sheetId="33" r:id="rId22"/>
    <sheet name="ISI3" sheetId="23" r:id="rId23"/>
    <sheet name="PROYEK3" sheetId="11" r:id="rId24"/>
    <sheet name="PENILAIAN3" sheetId="34" r:id="rId25"/>
    <sheet name="ISI4" sheetId="24" r:id="rId26"/>
    <sheet name="PROYEK4" sheetId="12" r:id="rId27"/>
    <sheet name="PENILAIAN4" sheetId="18" r:id="rId28"/>
    <sheet name="ISI5" sheetId="25" r:id="rId29"/>
    <sheet name="PROYEK5" sheetId="13" r:id="rId30"/>
    <sheet name="PENILAIAN5" sheetId="19" r:id="rId31"/>
    <sheet name="ISI6" sheetId="26" r:id="rId32"/>
    <sheet name="PROYEK6" sheetId="14" r:id="rId33"/>
    <sheet name="PENILAIAN6" sheetId="20" r:id="rId34"/>
    <sheet name="DIMEL" sheetId="7" r:id="rId35"/>
    <sheet name="ELSUBFASE" sheetId="8" r:id="rId36"/>
    <sheet name="RAWDATA" sheetId="6" r:id="rId37"/>
  </sheets>
  <externalReferences>
    <externalReference r:id="rId38"/>
  </externalReferences>
  <definedNames>
    <definedName name="Bergotong_Royong">DIMEL!$D$3:$D$6</definedName>
    <definedName name="Beriman__Bertakwa_Kepada_Tuhan_Yang_Maha_Esa__dan_Berakhlak_Mulia">DIMEL!$B$3:$B$8</definedName>
    <definedName name="Berkebhinekaan_Global">DIMEL!$C$3:$C$7</definedName>
    <definedName name="Bernalar_Kritis">DIMEL!$F$3:$F$6</definedName>
    <definedName name="bina">'[1]R3-Bina'!$B$4:$F$53</definedName>
    <definedName name="bjw">'[1]R3-BJW'!$B$4:$F$53</definedName>
    <definedName name="ipa">'[1]R3-IPA'!$B$4:$F$53</definedName>
    <definedName name="ips">'[1]R3-IPS'!$B$4:$F$53</definedName>
    <definedName name="k_1gab">'[1]K1-GAB'!$A$7:$AA$56</definedName>
    <definedName name="k_2gab">'[1]K2 GAB'!$A$11:$AM$60</definedName>
    <definedName name="kepjok">'[1]R4-PJOK'!$B$4:$F$53</definedName>
    <definedName name="ketbina">'[1]R4-BINA'!$B$4:$F$53</definedName>
    <definedName name="ketbjw">'[1]R4-BJW'!$B$4:$F$53</definedName>
    <definedName name="ketipa">'[1]R4-IPA'!$B$4:$F$53</definedName>
    <definedName name="ketips">'[1]R4-IPS'!$B$4:$F$53</definedName>
    <definedName name="ketmlk_2">'[1]R4-MLK2'!$B$4:$F$53</definedName>
    <definedName name="ketmlk_3">'[1]R4-MLK3'!$B$4:$F$53</definedName>
    <definedName name="ketmtk">'[1]R4-MTK'!$B$4:$F$53</definedName>
    <definedName name="ketpai">'[1]R4-PAI'!$B$4:$F$53</definedName>
    <definedName name="ketpkn">'[1]R4-PKN'!$B$4:$F$53</definedName>
    <definedName name="ketsbdp">'[1]R4-SBDP'!$B$4:$F$53</definedName>
    <definedName name="Kreatif">DIMEL!$G$3:$G$6</definedName>
    <definedName name="Mandiri">DIMEL!$E$3:$E$5</definedName>
    <definedName name="mlk_2">'[1]R3-MLK2'!$B$4:$F$53</definedName>
    <definedName name="mlk_3">'[1]R3-MLK3'!$B$4:$F$53</definedName>
    <definedName name="mtk">'[1]R3-MTK'!$B$4:$F$53</definedName>
    <definedName name="pai">'[1]R3-PAI'!$B$4:$F$53</definedName>
    <definedName name="pjok">'[1]R3-PJOK'!$B$4:$F$53</definedName>
    <definedName name="pkn">'[1]R3-PKN'!$B$4:$F$53</definedName>
    <definedName name="_xlnm.Print_Area" localSheetId="18">RAPOR!$B$2:$K$230</definedName>
    <definedName name="sbdp">'[1]R3-SBDP'!$B$4:$F$53</definedName>
    <definedName name="siswa">'[1]DATA SISWA'!$B$7:$W$66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53" i="27" l="1"/>
  <c r="B103" i="27"/>
  <c r="B53" i="27"/>
  <c r="E9" i="27"/>
  <c r="C36" i="27"/>
  <c r="D6" i="28"/>
  <c r="B193" i="27"/>
  <c r="I6" i="31" l="1"/>
  <c r="D7" i="34"/>
  <c r="D6" i="34"/>
  <c r="D7" i="33"/>
  <c r="D6" i="33"/>
  <c r="E229" i="27" l="1"/>
  <c r="E228" i="27"/>
  <c r="H221" i="27"/>
  <c r="H220" i="27"/>
  <c r="H216" i="27"/>
  <c r="H215" i="27"/>
  <c r="J186" i="27"/>
  <c r="I186" i="27"/>
  <c r="H186" i="27"/>
  <c r="G186" i="27"/>
  <c r="G181" i="27"/>
  <c r="H181" i="27"/>
  <c r="I181" i="27"/>
  <c r="J181" i="27"/>
  <c r="J176" i="27"/>
  <c r="I176" i="27"/>
  <c r="H176" i="27"/>
  <c r="G176" i="27"/>
  <c r="G171" i="27"/>
  <c r="H171" i="27"/>
  <c r="I171" i="27"/>
  <c r="J171" i="27"/>
  <c r="J166" i="27"/>
  <c r="I166" i="27"/>
  <c r="H166" i="27"/>
  <c r="G166" i="27"/>
  <c r="G161" i="27"/>
  <c r="H161" i="27"/>
  <c r="I161" i="27"/>
  <c r="J161" i="27"/>
  <c r="J156" i="27"/>
  <c r="I156" i="27"/>
  <c r="H156" i="27"/>
  <c r="G156" i="27"/>
  <c r="J136" i="27"/>
  <c r="I136" i="27"/>
  <c r="H136" i="27"/>
  <c r="G136" i="27"/>
  <c r="G131" i="27"/>
  <c r="H131" i="27"/>
  <c r="I131" i="27"/>
  <c r="J131" i="27"/>
  <c r="J126" i="27"/>
  <c r="I126" i="27"/>
  <c r="H126" i="27"/>
  <c r="G126" i="27"/>
  <c r="G121" i="27"/>
  <c r="H121" i="27"/>
  <c r="I121" i="27"/>
  <c r="J121" i="27"/>
  <c r="J116" i="27"/>
  <c r="I116" i="27"/>
  <c r="H116" i="27"/>
  <c r="G116" i="27"/>
  <c r="J111" i="27"/>
  <c r="I111" i="27"/>
  <c r="H111" i="27"/>
  <c r="G111" i="27"/>
  <c r="J106" i="27"/>
  <c r="I106" i="27"/>
  <c r="H106" i="27"/>
  <c r="G106" i="27"/>
  <c r="B185" i="27"/>
  <c r="B180" i="27"/>
  <c r="B175" i="27"/>
  <c r="B170" i="27"/>
  <c r="B165" i="27"/>
  <c r="B160" i="27"/>
  <c r="B155" i="27"/>
  <c r="M103" i="27"/>
  <c r="M153" i="27" s="1"/>
  <c r="B143" i="27"/>
  <c r="B135" i="27"/>
  <c r="B130" i="27"/>
  <c r="B125" i="27"/>
  <c r="B120" i="27"/>
  <c r="A158" i="10"/>
  <c r="B115" i="27"/>
  <c r="B110" i="27"/>
  <c r="AC11" i="34"/>
  <c r="Y11" i="34"/>
  <c r="U11" i="34"/>
  <c r="Q11" i="34"/>
  <c r="M11" i="34"/>
  <c r="I11" i="34"/>
  <c r="E11" i="34"/>
  <c r="D5" i="34"/>
  <c r="D63" i="34"/>
  <c r="D62" i="34"/>
  <c r="D61" i="34"/>
  <c r="D60" i="34"/>
  <c r="D59" i="34"/>
  <c r="D58" i="34"/>
  <c r="D57" i="34"/>
  <c r="D56" i="34"/>
  <c r="D55" i="34"/>
  <c r="D54" i="34"/>
  <c r="D53" i="34"/>
  <c r="D52" i="34"/>
  <c r="D51" i="34"/>
  <c r="D50" i="34"/>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8" i="34"/>
  <c r="AC11" i="33"/>
  <c r="Y11" i="33"/>
  <c r="U11" i="33"/>
  <c r="Q11" i="33"/>
  <c r="M11" i="33"/>
  <c r="I11" i="33"/>
  <c r="E11" i="33"/>
  <c r="B105" i="27" s="1"/>
  <c r="D5" i="33"/>
  <c r="D63" i="33"/>
  <c r="D62" i="33"/>
  <c r="D61" i="33"/>
  <c r="D60" i="33"/>
  <c r="D59" i="33"/>
  <c r="D58" i="33"/>
  <c r="D57" i="33"/>
  <c r="D56" i="33"/>
  <c r="D55" i="33"/>
  <c r="D54" i="33"/>
  <c r="D53" i="33"/>
  <c r="D52" i="33"/>
  <c r="D51" i="33"/>
  <c r="D50" i="33"/>
  <c r="D49" i="33"/>
  <c r="D48" i="33"/>
  <c r="D47" i="33"/>
  <c r="D46"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8" i="33"/>
  <c r="I6" i="32"/>
  <c r="D34" i="27" l="1"/>
  <c r="B93" i="27"/>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13" i="29"/>
  <c r="G12" i="29"/>
  <c r="F12" i="29"/>
  <c r="E12" i="29"/>
  <c r="J9" i="27"/>
  <c r="J8" i="27"/>
  <c r="J7" i="27"/>
  <c r="E10" i="27"/>
  <c r="E8" i="27"/>
  <c r="E7" i="27"/>
  <c r="M53" i="27"/>
  <c r="D16" i="15"/>
  <c r="D17" i="15"/>
  <c r="D18" i="15"/>
  <c r="D19" i="15"/>
  <c r="D20" i="15"/>
  <c r="D21" i="15"/>
  <c r="H56" i="27"/>
  <c r="I56" i="27"/>
  <c r="J56" i="27"/>
  <c r="AC11" i="15"/>
  <c r="Y11" i="15"/>
  <c r="U11" i="15"/>
  <c r="Q11" i="15"/>
  <c r="M11" i="15"/>
  <c r="I11" i="15"/>
  <c r="E11" i="15"/>
  <c r="G56" i="27"/>
  <c r="J86" i="27" l="1"/>
  <c r="I86" i="27"/>
  <c r="H86" i="27"/>
  <c r="G86" i="27"/>
  <c r="J81" i="27"/>
  <c r="I81" i="27"/>
  <c r="H81" i="27"/>
  <c r="G81" i="27"/>
  <c r="J76" i="27"/>
  <c r="I76" i="27"/>
  <c r="H76" i="27"/>
  <c r="G76" i="27"/>
  <c r="J71" i="27"/>
  <c r="I71" i="27"/>
  <c r="H71" i="27"/>
  <c r="G71" i="27"/>
  <c r="J66" i="27"/>
  <c r="I66" i="27"/>
  <c r="H66" i="27"/>
  <c r="G66" i="27"/>
  <c r="J61" i="27"/>
  <c r="I61" i="27"/>
  <c r="H61" i="27"/>
  <c r="G61" i="27"/>
  <c r="B85" i="27"/>
  <c r="B80" i="27"/>
  <c r="B75" i="27"/>
  <c r="B70" i="27"/>
  <c r="B65" i="27"/>
  <c r="B60" i="27"/>
  <c r="B55" i="27"/>
  <c r="C25" i="27" l="1"/>
  <c r="D23" i="27"/>
  <c r="C14" i="27"/>
  <c r="D12" i="27"/>
  <c r="D8" i="28"/>
  <c r="E30" i="28"/>
  <c r="E20" i="28"/>
  <c r="E10" i="28"/>
  <c r="D7" i="28"/>
  <c r="I6" i="26"/>
  <c r="I6" i="25"/>
  <c r="I6" i="24"/>
  <c r="I6" i="23"/>
  <c r="D5" i="20" l="1"/>
  <c r="E6" i="14"/>
  <c r="D5" i="19"/>
  <c r="D6" i="19"/>
  <c r="E6" i="13"/>
  <c r="E6" i="12"/>
  <c r="E6" i="11"/>
  <c r="D63" i="20"/>
  <c r="D62" i="20"/>
  <c r="D61" i="20"/>
  <c r="D60" i="20"/>
  <c r="D59" i="20"/>
  <c r="D58" i="20"/>
  <c r="D57" i="20"/>
  <c r="D56" i="20"/>
  <c r="D55" i="20"/>
  <c r="D54" i="20"/>
  <c r="D53" i="20"/>
  <c r="D52" i="20"/>
  <c r="D51" i="20"/>
  <c r="D50" i="20"/>
  <c r="D49" i="20"/>
  <c r="D48" i="20"/>
  <c r="D47" i="20"/>
  <c r="D46" i="20"/>
  <c r="D45" i="20"/>
  <c r="D44" i="20"/>
  <c r="D43" i="20"/>
  <c r="D42" i="20"/>
  <c r="D41" i="20"/>
  <c r="D40" i="20"/>
  <c r="D39" i="20"/>
  <c r="D38" i="20"/>
  <c r="D37" i="20"/>
  <c r="D36" i="20"/>
  <c r="D35" i="20"/>
  <c r="D34" i="20"/>
  <c r="D33" i="20"/>
  <c r="D32" i="20"/>
  <c r="D31" i="20"/>
  <c r="D30" i="20"/>
  <c r="D29" i="20"/>
  <c r="D28" i="20"/>
  <c r="D27" i="20"/>
  <c r="D26" i="20"/>
  <c r="D25" i="20"/>
  <c r="D24" i="20"/>
  <c r="D23" i="20"/>
  <c r="D22" i="20"/>
  <c r="D21" i="20"/>
  <c r="D20" i="20"/>
  <c r="D19" i="20"/>
  <c r="D18" i="20"/>
  <c r="D17" i="20"/>
  <c r="D16" i="20"/>
  <c r="D15" i="20"/>
  <c r="D14" i="20"/>
  <c r="D8" i="20"/>
  <c r="D7" i="20"/>
  <c r="D6" i="20"/>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8" i="19"/>
  <c r="D7" i="19"/>
  <c r="D5"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8" i="18"/>
  <c r="D7" i="18"/>
  <c r="D6" i="18"/>
  <c r="D5" i="15"/>
  <c r="D15" i="15" l="1"/>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14" i="15"/>
  <c r="D8" i="15"/>
  <c r="D7" i="15"/>
  <c r="D6" i="15"/>
  <c r="P49" i="14" l="1"/>
  <c r="AC12" i="20" s="1"/>
  <c r="P47" i="14"/>
  <c r="P43" i="14"/>
  <c r="Y12" i="20" s="1"/>
  <c r="P41" i="14"/>
  <c r="P37" i="14"/>
  <c r="U12" i="20" s="1"/>
  <c r="P35" i="14"/>
  <c r="P31" i="14"/>
  <c r="Q12" i="20" s="1"/>
  <c r="P29" i="14"/>
  <c r="P25" i="14"/>
  <c r="M12" i="20" s="1"/>
  <c r="P23" i="14"/>
  <c r="P19" i="14"/>
  <c r="I12" i="20" s="1"/>
  <c r="P17" i="14"/>
  <c r="P13" i="14"/>
  <c r="E12" i="20" s="1"/>
  <c r="P11" i="14"/>
  <c r="P49" i="13"/>
  <c r="AC12" i="19" s="1"/>
  <c r="P47" i="13"/>
  <c r="P43" i="13"/>
  <c r="Y12" i="19" s="1"/>
  <c r="P41" i="13"/>
  <c r="P37" i="13"/>
  <c r="U12" i="19" s="1"/>
  <c r="P35" i="13"/>
  <c r="P31" i="13"/>
  <c r="Q12" i="19" s="1"/>
  <c r="P29" i="13"/>
  <c r="P25" i="13"/>
  <c r="M12" i="19" s="1"/>
  <c r="P23" i="13"/>
  <c r="P19" i="13"/>
  <c r="I12" i="19" s="1"/>
  <c r="P17" i="13"/>
  <c r="P13" i="13"/>
  <c r="E12" i="19" s="1"/>
  <c r="P11" i="13"/>
  <c r="P49" i="12"/>
  <c r="AC12" i="18" s="1"/>
  <c r="P47" i="12"/>
  <c r="P43" i="12"/>
  <c r="Y12" i="18" s="1"/>
  <c r="P41" i="12"/>
  <c r="P37" i="12"/>
  <c r="U12" i="18" s="1"/>
  <c r="P35" i="12"/>
  <c r="P31" i="12"/>
  <c r="Q12" i="18" s="1"/>
  <c r="P29" i="12"/>
  <c r="P25" i="12"/>
  <c r="M12" i="18" s="1"/>
  <c r="P23" i="12"/>
  <c r="P19" i="12"/>
  <c r="I12" i="18" s="1"/>
  <c r="P17" i="12"/>
  <c r="P13" i="12"/>
  <c r="E12" i="18" s="1"/>
  <c r="P11" i="12"/>
  <c r="P49" i="11"/>
  <c r="P47" i="11"/>
  <c r="P43" i="11"/>
  <c r="P41" i="11"/>
  <c r="P37" i="11"/>
  <c r="P35" i="11"/>
  <c r="P31" i="11"/>
  <c r="P29" i="11"/>
  <c r="P25" i="11"/>
  <c r="P23" i="11"/>
  <c r="P19" i="11"/>
  <c r="P17" i="11"/>
  <c r="P13" i="11"/>
  <c r="P11" i="11"/>
  <c r="E6" i="10"/>
  <c r="P49" i="10"/>
  <c r="P47" i="10"/>
  <c r="P43" i="10"/>
  <c r="P41" i="10"/>
  <c r="P37" i="10"/>
  <c r="P35" i="10"/>
  <c r="P31" i="10"/>
  <c r="P29" i="10"/>
  <c r="P25" i="10"/>
  <c r="P23" i="10"/>
  <c r="P19" i="10"/>
  <c r="P17" i="10"/>
  <c r="P13" i="10"/>
  <c r="P11" i="10"/>
  <c r="E12" i="34" l="1"/>
  <c r="B156" i="27"/>
  <c r="M12" i="34"/>
  <c r="B166" i="27"/>
  <c r="U12" i="34"/>
  <c r="B176" i="27"/>
  <c r="AC12" i="34"/>
  <c r="B186" i="27"/>
  <c r="I12" i="34"/>
  <c r="B161" i="27"/>
  <c r="Q12" i="34"/>
  <c r="B171" i="27"/>
  <c r="Y12" i="34"/>
  <c r="B181" i="27"/>
  <c r="B106" i="27"/>
  <c r="E12" i="33"/>
  <c r="B116" i="27"/>
  <c r="M12" i="33"/>
  <c r="B126" i="27"/>
  <c r="U12" i="33"/>
  <c r="B136" i="27"/>
  <c r="AC12" i="33"/>
  <c r="I12" i="33"/>
  <c r="B111" i="27"/>
  <c r="B121" i="27"/>
  <c r="Q12" i="33"/>
  <c r="Y12" i="33"/>
  <c r="B131" i="27"/>
  <c r="P47" i="9"/>
  <c r="P41" i="9"/>
  <c r="P35" i="9"/>
  <c r="P29" i="9"/>
  <c r="P23" i="9"/>
  <c r="P17" i="9"/>
  <c r="P11" i="9"/>
  <c r="P49" i="9" l="1"/>
  <c r="P43" i="9"/>
  <c r="P37" i="9"/>
  <c r="P31" i="9"/>
  <c r="P25" i="9"/>
  <c r="P19" i="9"/>
  <c r="I12" i="15" s="1"/>
  <c r="P13" i="9"/>
  <c r="E6" i="9"/>
  <c r="E12" i="15" l="1"/>
  <c r="B56" i="27"/>
  <c r="B76" i="27"/>
  <c r="U12" i="15"/>
  <c r="B81" i="27"/>
  <c r="Y12" i="15"/>
  <c r="B86" i="27"/>
  <c r="AC12" i="15"/>
  <c r="Q12" i="15"/>
  <c r="B71" i="27"/>
  <c r="M12" i="15"/>
  <c r="B66" i="27"/>
  <c r="B61"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Q3" authorId="0" shapeId="0" xr:uid="{00000000-0006-0000-0100-000001000000}">
      <text>
        <r>
          <rPr>
            <sz val="9"/>
            <color indexed="81"/>
            <rFont val="Tahoma"/>
            <family val="2"/>
          </rPr>
          <t>Proyek ini adalah proyek pertama di kelas 10. Proyek ini diharapkan membangun dua dimensi Profil Pelajar Pancasila, yakni berkebhinekaan global dan bernalar kritis. Pada proyek ini, siswa belajar untuk membuka diri mengenal stigma dan stereotip yang ia punya terhadap orang yang baru dikenal, mengeksplorasi pengetahuan (dari segi hukum, kebijakan, juga norma sosial) dan mengenal lebih dekat keberagaman agama dan keyakinan di Indonesia, mereduksi prasangka, refleksi diri, dan bersama-sama mewujudkan pelajaran yang mereka dapat melalui aksi nyata</t>
        </r>
      </text>
    </comment>
    <comment ref="Q5" authorId="0" shapeId="0" xr:uid="{00000000-0006-0000-0100-000002000000}">
      <text>
        <r>
          <rPr>
            <sz val="9"/>
            <color indexed="81"/>
            <rFont val="Tahoma"/>
            <family val="2"/>
          </rPr>
          <t>Dalam proyek ini, siswa mengeksplorasi peristiwa sejarah Indonesia sejak Boedi Oetomo (1908) hingga pemilu pertama (1955) dalam bentuk papan permainan (Board Game). Proyek ini diharapkan membangun dimensi bergotong royong, mandiri, dan berkebhinekaan global. Proyek dibuka dengan mengumpulkan informasi batu-batu loncatan (milestones) pelajaran sejarah, mengeksplorasi berbagai macam bentuk board game, lalu merancang sebuah permainan yang bisa digunakan untuk membantu teman-teman seusianya mempelajari sejarah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D6" authorId="0" shapeId="0" xr:uid="{00000000-0006-0000-0800-000001000000}">
      <text>
        <r>
          <rPr>
            <sz val="9"/>
            <color indexed="81"/>
            <rFont val="Tahoma"/>
            <family val="2"/>
          </rPr>
          <t>Dala mengerjakan proyek ini, Didi aktif melibatkan diri dengan memberikan usulan tentang cara-cara untuk mengajak remaja lainnya membuka diri tentang agama dan keyakinan. Wawasan yang luas dan pengalamannya berada di tengah lingkungan yang beragam sangat membantu Didi dalam memberikan ide dan gagasan serta berkontribusi aktif dalam diskusi kelompok. Ia aktif memberikan pertanyaan-pertanyaan yang memancing diskusi di kelompoknya, sehingga ia dan teman kelompoknya dapat merancang kampanye yang efektif. Dalam penegerjaan proyeknya pun, Didi tampak terbiasa untuk membantu teman yang kesulitan.</t>
        </r>
      </text>
    </comment>
    <comment ref="D8" authorId="0" shapeId="0" xr:uid="{00000000-0006-0000-0800-000002000000}">
      <text>
        <r>
          <rPr>
            <sz val="9"/>
            <color indexed="81"/>
            <rFont val="Tahoma"/>
            <family val="2"/>
          </rPr>
          <t>Dalam mengerjakan projek ini, Didi mencoba untuk mengembangkan kemampuannya dalam bekerja dalam kelompok. Selama mengerjakan proyek ini Didi dapat fokus bekerja dan selalu berusaha untuk memberikan kontribusi pada kelompoknya. Namun ia masih perlu belajar lebih bertanggung jawab dan memenuhi komitmennya atas tugas-tugas yang ia emban, sehingga tidak menjadi hambatan bagi bergulirnya proses dalam kelompok. Dalam kelompok ini Didi merasa ia masih belum dapat bekerja sama dengan baik bersama kelompoknya. Didi pun menyampaikan bahwa ia  masih belajar untuk memahami teman-temannya dan menyesuaikan dirinya dalam kelompok.</t>
        </r>
      </text>
    </comment>
  </commentList>
</comments>
</file>

<file path=xl/sharedStrings.xml><?xml version="1.0" encoding="utf-8"?>
<sst xmlns="http://schemas.openxmlformats.org/spreadsheetml/2006/main" count="1301" uniqueCount="554">
  <si>
    <t>PENILAIAN PROYEK</t>
  </si>
  <si>
    <t>PROGRAM SEKOLAH PENGGERAK</t>
  </si>
  <si>
    <t>No</t>
  </si>
  <si>
    <t>Nama Sekolah</t>
  </si>
  <si>
    <t>IDENTITAS SEKOLAH</t>
  </si>
  <si>
    <t>:</t>
  </si>
  <si>
    <t>NPSN</t>
  </si>
  <si>
    <t>NSS</t>
  </si>
  <si>
    <t>Alamat Sekolah</t>
  </si>
  <si>
    <t>Kode Pos</t>
  </si>
  <si>
    <t>Desa / Kelurahan</t>
  </si>
  <si>
    <t>Kecamatan</t>
  </si>
  <si>
    <t>Kabupaten / Kota</t>
  </si>
  <si>
    <t>Provinsi</t>
  </si>
  <si>
    <t>Website</t>
  </si>
  <si>
    <t>E-mail</t>
  </si>
  <si>
    <t>Nama Kepala Sekolah</t>
  </si>
  <si>
    <t>NIP</t>
  </si>
  <si>
    <t>Nama Guru Kelas</t>
  </si>
  <si>
    <t>Kelas</t>
  </si>
  <si>
    <t>Fase</t>
  </si>
  <si>
    <t>Kembali ke halaman awal</t>
  </si>
  <si>
    <t>Tahun Pelajaran</t>
  </si>
  <si>
    <t>Kembali ke halaman sebelumnya</t>
  </si>
  <si>
    <t>Tempat/Tanggal Rapor</t>
  </si>
  <si>
    <t>JUDUL PROYEK</t>
  </si>
  <si>
    <t xml:space="preserve">1. </t>
  </si>
  <si>
    <t>Tuliskan Judul Proyek yang anda lakukan di sekolah anda</t>
  </si>
  <si>
    <t>2.</t>
  </si>
  <si>
    <t>dalam 1 tahun ajaran</t>
  </si>
  <si>
    <t>Untuk Pengisian NIP diawal dengan tanda koma atas (')</t>
  </si>
  <si>
    <t>3.</t>
  </si>
  <si>
    <t>Isilah pada kolom yang berwarna putih saja</t>
  </si>
  <si>
    <t>NO</t>
  </si>
  <si>
    <t>NIS</t>
  </si>
  <si>
    <t>NISN</t>
  </si>
  <si>
    <t>NAMA PESERTA DIDIK</t>
  </si>
  <si>
    <t>L/P</t>
  </si>
  <si>
    <t>TEMPAT LAHIR</t>
  </si>
  <si>
    <t>TANGGAL LAHIR</t>
  </si>
  <si>
    <t>AGAMA</t>
  </si>
  <si>
    <t>PENDIDIKAN SEBELUMNYA</t>
  </si>
  <si>
    <t>ALAMAT PESERTA DIDIK</t>
  </si>
  <si>
    <t>I</t>
  </si>
  <si>
    <t>A</t>
  </si>
  <si>
    <t>B</t>
  </si>
  <si>
    <t>C</t>
  </si>
  <si>
    <t>DIMENSI</t>
  </si>
  <si>
    <t xml:space="preserve">Beriman, Bertakwa Kepada Tuhan Yang Maha Esa, dan Berakhlak Mulia </t>
  </si>
  <si>
    <t>Berkebhinekaan Global</t>
  </si>
  <si>
    <t>Bergotong-Royong</t>
  </si>
  <si>
    <t>Mandiri</t>
  </si>
  <si>
    <t>Bernalar Kritis</t>
  </si>
  <si>
    <t>Kreatif</t>
  </si>
  <si>
    <t>ELEMEN</t>
  </si>
  <si>
    <t>Akhlak Beragama</t>
  </si>
  <si>
    <t>Akhlak Pribadi</t>
  </si>
  <si>
    <t>Akhlak Kepada Manusia</t>
  </si>
  <si>
    <t>Akhlak Kepada Alam</t>
  </si>
  <si>
    <t>Akhlak Bernegara</t>
  </si>
  <si>
    <t>Mengenal dan menghargai budaya</t>
  </si>
  <si>
    <t>Komunikasi dan interaksi antar budaya</t>
  </si>
  <si>
    <t>Refleksi dan bertanggung jawab terhadap pengalaman kebinekaan</t>
  </si>
  <si>
    <t>Berkeadilan Sosial</t>
  </si>
  <si>
    <t>Kolaborasi</t>
  </si>
  <si>
    <t>Kepedulian</t>
  </si>
  <si>
    <t>Berbagi</t>
  </si>
  <si>
    <t>Pemahaman diri dan situasi yang dihadapi</t>
  </si>
  <si>
    <t>Regulasi Diri</t>
  </si>
  <si>
    <t>Memperoleh dan memproses informasi dan gagasan</t>
  </si>
  <si>
    <t>Menganalisis dan mengevaluasi penalaran dan prosedurnya</t>
  </si>
  <si>
    <t>Refleksi pemikiran dan proses berpikir</t>
  </si>
  <si>
    <t>Menghasilkan gagasan yang orisinal</t>
  </si>
  <si>
    <t>Menghasilkan karya dan tindakan yang orisinal</t>
  </si>
  <si>
    <t>Memiliki keluwesan berpikir dalam mencari alternatif solusi permasalahan</t>
  </si>
  <si>
    <t>SUBELEMEN</t>
  </si>
  <si>
    <t>Mengenal dan Mencintai Tuhan Yang Maha Esa</t>
  </si>
  <si>
    <t>Pemahaman Agama/Kepercayaan</t>
  </si>
  <si>
    <t>Pelaksanaan Ritual Ibadah</t>
  </si>
  <si>
    <t>1.1</t>
  </si>
  <si>
    <t>1.2</t>
  </si>
  <si>
    <t>Integritas</t>
  </si>
  <si>
    <t>Merawat Diri secara Fisik, Mental dan Spiritual</t>
  </si>
  <si>
    <t>1.3</t>
  </si>
  <si>
    <t>Mengutamakan persamaan dengan orang lain dan menghargai perbedaan</t>
  </si>
  <si>
    <t>Berempati kepada orang lain</t>
  </si>
  <si>
    <t>1.4</t>
  </si>
  <si>
    <t>Memahami Keterhubungan Ekosistem Bumi</t>
  </si>
  <si>
    <t>Menjaga Lingkungan Alam Sekitar</t>
  </si>
  <si>
    <t>1.5</t>
  </si>
  <si>
    <t>Melaksanakan Hak dan Kewajiban sebagai Warga Negara Indonesia</t>
  </si>
  <si>
    <t>2.1</t>
  </si>
  <si>
    <t>Mendalami budaya dan identitas budaya</t>
  </si>
  <si>
    <t>Mengeksplorasi dan membandingkan pengetahuan budaya, kepercayaan, serta praktiknya</t>
  </si>
  <si>
    <t>Menumbuhkan rasa menghormati terhadap keanekaragaman budaya</t>
  </si>
  <si>
    <t>2.2</t>
  </si>
  <si>
    <t>Berkomunikasi antar budaya</t>
  </si>
  <si>
    <t>Mempertimbangkan dan menumbuhkan berbagai perspektif</t>
  </si>
  <si>
    <t>2.3</t>
  </si>
  <si>
    <t>Refleksi terhadap pengalaman kebinekaan</t>
  </si>
  <si>
    <t>Menghilangkan stereotip dan prasangka</t>
  </si>
  <si>
    <t>Menyelaraskan perbedaan budaya</t>
  </si>
  <si>
    <t>2.4</t>
  </si>
  <si>
    <t>Aktif membangun masyarakat yang inklusif, adil, dan berkelanjutan</t>
  </si>
  <si>
    <t>Berpartisipasi dalam proses pengambilan keputusan bersama</t>
  </si>
  <si>
    <t>Memahami peran individu dalam demokrasi</t>
  </si>
  <si>
    <t>3.1</t>
  </si>
  <si>
    <t>Kerja sama</t>
  </si>
  <si>
    <t>Komunikasi untuk mencapai tujuan bersama</t>
  </si>
  <si>
    <t>Saling-ketergantungan positif</t>
  </si>
  <si>
    <t>Koordinasi Sosial</t>
  </si>
  <si>
    <t>3.2</t>
  </si>
  <si>
    <t>Tanggap terhadap lingkungan Sosial</t>
  </si>
  <si>
    <t>Persepsi sosial</t>
  </si>
  <si>
    <t>3.3</t>
  </si>
  <si>
    <t>4.1</t>
  </si>
  <si>
    <t>Mengenali kualitas dan minat diri serta tantangan yang dihadapi</t>
  </si>
  <si>
    <t>4.2</t>
  </si>
  <si>
    <t>Mengembangkan refleksi diri</t>
  </si>
  <si>
    <t>Regulasi emosi</t>
  </si>
  <si>
    <t>Penetapan tujuan belajar, prestasi, dan pengembangan diri serta rencana strategis untuk mencapainya</t>
  </si>
  <si>
    <t>Menunjukkan inisiatif dan bekerja secara mandiri</t>
  </si>
  <si>
    <t>Mengembangkan pengendalian dan disiplin diri</t>
  </si>
  <si>
    <t>Percaya diri, tangguh (resilient), dan adaptif</t>
  </si>
  <si>
    <t>5.1</t>
  </si>
  <si>
    <t>Mengajukan pertanyaan</t>
  </si>
  <si>
    <t>Mengidentifikasi, mengklarifikasi, dan mengolah informasi dan gagasan</t>
  </si>
  <si>
    <t>5.2</t>
  </si>
  <si>
    <t>5.3</t>
  </si>
  <si>
    <t>Merefleksi dan mengevaluasi pemikirannya sendiri</t>
  </si>
  <si>
    <t>6.1</t>
  </si>
  <si>
    <t>6.2</t>
  </si>
  <si>
    <t>6.3</t>
  </si>
  <si>
    <t>D</t>
  </si>
  <si>
    <t>E</t>
  </si>
  <si>
    <t>F</t>
  </si>
  <si>
    <t>PAUD</t>
  </si>
  <si>
    <t xml:space="preserve">Mengenal adanya  Tuhan Yang Maha 
Esa melalui sifat- sifat-Nya  </t>
  </si>
  <si>
    <t xml:space="preserve">Mengenal sifat-sifat 
utama Tuhan Yang 
Maha Esa bahwa Dia 
adalah Sang Pencipta 
yang Maha Pengasih 
dan Maha Penyayang 
dan mengenali 
kebaikan dirinya 
sebagai cerminan sifat 
Tuhan </t>
  </si>
  <si>
    <t xml:space="preserve">Memahami sifat-sifat 
Tuhan utama lainnya 
dan mengaitkan sifat-
sifat tersebut dengan 
konsep dirinya dan 
ciptaan-Nya </t>
  </si>
  <si>
    <t xml:space="preserve">Memahami berbagai 
kualitas atau sifat-sifat 
Tuhan Yang Maha Esa 
yang diutarakan dalam 
kitab suci agama 
masing-masing dan 
menghubungkan 
kualitas-kualitas positif 
Tuhan dengan sikap 
pribadinya, serta 
meyakini firman Tuhan 
sebagai kebenaran. </t>
  </si>
  <si>
    <t>Memahami kehadiran 
Tuhan dalam kehidupan 
sehari-hari serta 
mengaitkan 
pemahamannya tentang 
kualitas atau sifat-sifat 
Tuhan dengan konsep 
peran manusia di bumi 
sebagai makhluk Tuhan 
yang bertanggung jawab.</t>
  </si>
  <si>
    <t xml:space="preserve">Menerapkan 
pemahamannya tentang 
kualitas atau sifat-sifat 
Tuhan dalam ritual 
ibadahnya baik ibadah 
yang bersifat personal 
maupun sosial. </t>
  </si>
  <si>
    <t xml:space="preserve">Mengenal simbol-simbol dan ekspresi 
keagamaan yang konkret </t>
  </si>
  <si>
    <t xml:space="preserve">Mengenal unsur-unsur utama agama/kepercayaan 
(ajaran, ritual keagamaan, kitab suci, dan orang suci/ 
utusan Tuhan YME). </t>
  </si>
  <si>
    <t xml:space="preserve">Mengenal unsur-unsur 
utama agama/kepercayaan 
(simbol-simbol keagamaan dan sejarah agama/ kepercayaan) </t>
  </si>
  <si>
    <t>Memahami unsur-unsur utama agama / kepercayaan, dan mengenali peran agama/kepercayaan dalam kehidupan serta memahami ajaran moral agama.</t>
  </si>
  <si>
    <t xml:space="preserve">Memahami makna dan 
fungsi, unsur-unsur 
utama agama 
 / kepercayaan dalam konteks Indonesia, 
membaca kitab suci, serta memahami ajaran agama/ kepercayaan terkait hubungan sesama manusia dan alam semesta. </t>
  </si>
  <si>
    <t>Memahami struktur 
organisasi, unsur-unsur 
utama agama 
/ kepercayaan dalam konteks Indonesia, memahami kontribusi agama/kepercayaan terhadap peradaban 
dunia</t>
  </si>
  <si>
    <t>FASE</t>
  </si>
  <si>
    <t>KELAS</t>
  </si>
  <si>
    <t>A1</t>
  </si>
  <si>
    <t>A2</t>
  </si>
  <si>
    <t>II</t>
  </si>
  <si>
    <t>III</t>
  </si>
  <si>
    <t>IV</t>
  </si>
  <si>
    <t>V</t>
  </si>
  <si>
    <t>VI</t>
  </si>
  <si>
    <t>VII</t>
  </si>
  <si>
    <t>VIII</t>
  </si>
  <si>
    <t>IX</t>
  </si>
  <si>
    <t>X</t>
  </si>
  <si>
    <t>XI</t>
  </si>
  <si>
    <t>XII</t>
  </si>
  <si>
    <t>Dimensi 1</t>
  </si>
  <si>
    <t>Dimensi 2</t>
  </si>
  <si>
    <t>Dimensi 3</t>
  </si>
  <si>
    <t>Subelemen</t>
  </si>
  <si>
    <t>Elemen 1</t>
  </si>
  <si>
    <t>Mengenali adanya Tuhan melalui sifat-sifat-Nya</t>
  </si>
  <si>
    <t>Mengenali simbol-simbol dan ekspresi keagamaan yang konkrit</t>
  </si>
  <si>
    <t>Mulai mencontoh kebiasaan pelaksanaan ibadah sesuai agama/kepercayaannya</t>
  </si>
  <si>
    <t>Mengenali sifat-sifat utama Tuhan bahwa Ia Maha Esa dan Ia adalah Sang Pencipta yang Maha Pengasih dan Maha Penyayang dan mengenali kebaikan dirinya sebagai cerminan sifat Tuhan</t>
  </si>
  <si>
    <t>Mengenali unsur-unsur utama agama/kepercayaan (ajaran, ritual keagamaan, kitab suci, dan orang suci/ utusan Tuhan YME).</t>
  </si>
  <si>
    <t>Terbiasa melaksanakan ibadah sesuai ajaran agama/kepercayaannya</t>
  </si>
  <si>
    <t>Memahami sifat-sifat Tuhan utama lainnya dan mengaitkan sifatsifat tersebut dengan konsep dirinya dan ciptaan-Nya</t>
  </si>
  <si>
    <t>Mengenali unsur-unsur utama agama/kepercayaan (simbol-simbol keagamaan dan sejarah agama/ kepercayaan)</t>
  </si>
  <si>
    <t>Terbiasa melaksanakan ibadah wajib sesuai tuntunan agama/kepercayaannya</t>
  </si>
  <si>
    <t>Memahami berbagai kualitas atau sifat-sifat Tuhan yang diutarakan dalam kitab suci agama masing-masing dan menghubungkan kualitas-kualitas positif Tuhan dengan sikap pribadinya, serta meyakini firman Tuhan sebagai kebenaran</t>
  </si>
  <si>
    <t>Memahami unsur-unsur utama agama/kepercayaan, dan mengenali peran agama/kepercayaan dalam kehidupan serta memahami ajaran moral agama.</t>
  </si>
  <si>
    <t>Melaksanakan ibadah secara rutin sesuai dengan tuntunan agama/kepercayaan, berdoa mandiri, merayakan, dan memahami makna hari-hari besarnya</t>
  </si>
  <si>
    <t>Memahami kehadiran Tuhan dalam kehidupan sehari-hari serta mengaitkan pemahamannya tentang kualitas atau sifat-sifat Tuhan dengan konsep peran manusia di bumi sebagai makhluk Tuhan yang bertanggung jawab.</t>
  </si>
  <si>
    <t>Memahami makna dan fungsi, unsur-unsur utama agama /kepercayaan dalam konteks Indonesia, membaca kitab suci, serta memahami ajaran agama/ kepercayaan terkait hubungan sesama manusia dan alam semesta.</t>
  </si>
  <si>
    <t>Melaksanakan ibadah secara rutin dan mandiri sesuai dengan tuntunan agama/kepercayaan, serta berpartisipasi pada perayaan hari-hari besarnya</t>
  </si>
  <si>
    <t>Melaksanakan ibadah secara rutin dan mandiri serta menyadari arti penting ibadah tersebut dan berpartisipasi aktif pada kegiatan keagamaan atau kepercayaan</t>
  </si>
  <si>
    <t>Memahami struktur organisasi, unsur-unsur utama agama /kepercayaan dalam konteks Indonesia, memahami kontribusi agama/kepercayaan terhadap peradaban dunia.</t>
  </si>
  <si>
    <t>Menerapkan pemahamannya tentang kualitas atau sifat-sifat Tuhan dalam ritual ibadahnya baik ibadah yang bersifat personal maupun sosial.</t>
  </si>
  <si>
    <t>Elemen 2</t>
  </si>
  <si>
    <t>Elemen 3</t>
  </si>
  <si>
    <t>Mulai membiasakan bersikap jujur dan berani menyampaikan kebenaran atau fakta</t>
  </si>
  <si>
    <t>Membiasakan diri untuk membersihkan, merawat tubuh serta menjaga kesehatan dan keselamatan/keamanan diri dalam semua aktivitas kesehariannya</t>
  </si>
  <si>
    <t>Membiasakan bersikap jujur terhadap diri sendiri dan orang lain dan berani menyampaikan kebenaran atau fakta</t>
  </si>
  <si>
    <t>Memiliki rutinitas sederhana yang diatur secara mandiri dan dijalankan sehari-hari serta menjaga kesehatan dan keselamatan/keamanan diri dalam semua aktivitas kesehariannya.</t>
  </si>
  <si>
    <t>Membiasakan melakukan refleksi tentang pentingnya bersikap jujur dan berani menyampaikan kebenaran atau fakta</t>
  </si>
  <si>
    <t>Mulai membiasakan diri untuk disiplin, rapi, membersihkan dan merawat tubuh, menjaga tingkah laku dan perkataan dalam semua aktivitas kesehariannya</t>
  </si>
  <si>
    <t>Berani dan konsisten menyampaikan kebenaran atau fakta serta memahami konsekuensi-konsekuensinya untuk diri sendiri</t>
  </si>
  <si>
    <t>Memperhatikan kesehatan jasmani, mental, dan rohani dengan melakukan aktivitas fisik, sosial, dan ibadah.</t>
  </si>
  <si>
    <t>Berani dan konsisten menyampaikan kebenaran atau fakta serta memahami konsekuensi-konsekuensinya untuk diri sendiri dan orang lain</t>
  </si>
  <si>
    <t>Mengidentifikasi pentingnya menjaga keseimbangan kesehatan jasmani, mental, dan rohani serta berupaya menyeimbangkan aktivitas fisik, sosial dan ibadah.</t>
  </si>
  <si>
    <t>Menyadari bahwa aturan agama dan sosial merupakan aturan yang baik dan menjadi bagian dari diri sehingga bisa menerapkannya secara bijak dan kontekstual</t>
  </si>
  <si>
    <t>Melakukan aktivitas fisik, sosial, dan ibadah secara seimbang.</t>
  </si>
  <si>
    <t>Mengenali hal-hal yang sama dan berbeda yang dimiliki diri dan temannya dalam berbagai hal. Membiasakan mendengarkan pendapat temannya, baik itu sama ataupun berbeda dengan pendapat yang dimilikinya dan mengekspresikannya secara wajar.</t>
  </si>
  <si>
    <t>Mengenali emosi, minat, dan kebutuhan orang-orang terdekat dan membiasakan meresponnya secara positif.</t>
  </si>
  <si>
    <t>Mengenal berbagai ciptaan Tuhan</t>
  </si>
  <si>
    <t>Membiasakan bersyukur atas karunia lingkungan alam sekitar dengan menjaga kebersihan dan merawat lingkungan alam sekitarnya.</t>
  </si>
  <si>
    <t>Mengenali hak dan tanggungjawabnya di rumah dan sekolah, serta kaitannya dengan keimanan kepada Tuhan YME.</t>
  </si>
  <si>
    <t>Mengenali hal-hal yang sama dan berbeda yang dimiliki diri dan temannya dalam berbagai hal, serta memberikan respon secara positif.</t>
  </si>
  <si>
    <t>Mengidentifikasi emosi, minat dan kebutuhan orang-orang terdekat dan meresponnya secara positif.</t>
  </si>
  <si>
    <t>Mengidentifikasi berbagai ciptaan Tuhan</t>
  </si>
  <si>
    <t>Membiasakan bersyukur atas lingkungan alam sekitar dan berlatih untuk menjaganya</t>
  </si>
  <si>
    <t>Mengidentifikasi hak dan tanggung jawabnya di rumah, sekolah, dan lingkungan sekitar serta kaitannya dengan keimanan kepada Tuhan YME.</t>
  </si>
  <si>
    <t>Terbiasa mengidentifikasi hal-hal yang sama dan berbeda yang dimiliki diri dan temannya dalam berbagai hal serta memberikan respon secara positif.</t>
  </si>
  <si>
    <t>Terbiasa memberikan apresiasi di lingkungan sekolah dan masyarakat</t>
  </si>
  <si>
    <t>Memahami keterhubungan antara satu ciptaan dengan ciptaan Tuhan yang lainnya</t>
  </si>
  <si>
    <t>Terbiasa memahami tindakan-tindakan yang ramah dan tidak ramah lingkungan serta membiasakan diri untuk berperilaku ramah lingkungan</t>
  </si>
  <si>
    <t>Mengidentifikasi hak dan tanggung jawab orang-orang di sekitarnya serta kaitannya dengan keimanan kepada Tuhan YME.</t>
  </si>
  <si>
    <t>Mengidentifikasi kesamaan dengan orang lain sebagai perekat hubungan sosial dan mewujudkannya dalam aktivitas kelompok. Mulai mengenal berbagai kemungkinan interpretasi dan cara pandang yang berbeda ketika dihadapkan dengan dilema.</t>
  </si>
  <si>
    <t>Mulai memandang sesuatu dari perspektif orang lain serta mengidentifikasi kebaikan dan kelebihan orang sekitarnya.</t>
  </si>
  <si>
    <t>Memahami konsep harmoni dan mengidentifikasi adanya saling ketergantungan antara berbagai ciptaan Tuhan</t>
  </si>
  <si>
    <t>Mewujudkan rasa syukur dengan terbiasa berperilaku ramah lingkungan dan memahami akibat perbuatan tidak ramah lingkungan dalam lingkup kecil maupun besar.</t>
  </si>
  <si>
    <t>Mengidentifikasi dan memahami peran, hak, dan kewajiban dasar sebagai warga negara serta kaitannya dengan keimanan kepada Tuhan YME dan secara sadar mempraktikkannya dalam kehidupan sehari-hari.</t>
  </si>
  <si>
    <t>Mengenal perspektif dan emosi/perasaan dari sudut pandang orang atau kelompok lain yang tidak pernah dijumpai atau dikenalnya. Mengutamakan persamaan dan menghargai perbedaan sebagai alat pemersatu dalam keadaan konflik atau perdebatan.</t>
  </si>
  <si>
    <t>Memahami perasaan dan sudut pandang orang dan/atau kelompok lain yang tidak pernah dikenalnya.</t>
  </si>
  <si>
    <t>Memahami konsep sebab-akibat di antara berbagai ciptaan Tuhan dan mengidentifikasi berbagai sebab yang mempunyai dampak baik atau buruk, langsung maupun tidak langsung, terhadap alam semesta.</t>
  </si>
  <si>
    <t>Mewujudkan rasa syukur dengan berinisiatif untuk menyelesaikan permasalahan lingkungan alam sekitarnya dengan mengajukan alternatif solusi dan mulai menerapkan solusi tersebut.</t>
  </si>
  <si>
    <t>Menganalisa peran, hak, dan kewajiban sebagai warga negara, memahami perlunya mengutamakan kepentingan umum di atas kepentingan pribadi sebagai wujud dari keimanannya kepada Tuhan YME.</t>
  </si>
  <si>
    <t>Mengidentifikasi hal yang menjadi permasalahan bersama, memberikan alternatif solusi untuk menjembatani perbedaan dengan mengutamakan kemanusiaan.</t>
  </si>
  <si>
    <t>Memahami dan menghargai perasaan dan sudut pandang orang dan/atau kelompok lain.</t>
  </si>
  <si>
    <t>Mengidentifikasi masalah lingkungan hidup di tempat ia tinggal dan melakukan langkah-langkah konkrit yang bisa dilakukan untuk menghindari kerusakan dan menjaga keharmonisan ekosistem yang ada di lingkungannya.</t>
  </si>
  <si>
    <t>Mewujudkan rasa syukur dengan membangun kesadaran peduli lingkungan alam dengan menciptakan dan mengimplementasikan solusi dari permasalahan lingkungan yang ada.</t>
  </si>
  <si>
    <t>Memperoleh hak dan melaksanakan kewajiban kewarganegaraan dan terbiasa mendahulukan kepentingan umum di atas kepentingan pribadi sebagai wujud dari keimanannya kepada Tuhan YME.</t>
  </si>
  <si>
    <t>Mengenali identitas diri dan kebiasaan-kebiasaan budaya dalam keluarga</t>
  </si>
  <si>
    <t>Mengenali identitas orang lain dan kebiasaan-kebiasaannya</t>
  </si>
  <si>
    <t>Membiasakan untuk menyayangi dan menghormati budaya-budaya yang berbeda dari dirinya.</t>
  </si>
  <si>
    <t>Menggunakan berbagai macam cara yang bermakna untuk mengungkapkan perasaan dan pikiran.</t>
  </si>
  <si>
    <t>Menjalin interaksi sosial yang positif dalam lingkungan keluarga dan sekolah</t>
  </si>
  <si>
    <t>Menunjukkan kesadaran untuk menerima teman yang berbeda budaya dengan bermain bersama.</t>
  </si>
  <si>
    <t>Mengenali orang-orang di sekitarnya berdasarkan ciri-ciri atau atribut tertentu</t>
  </si>
  <si>
    <t>Mengetahui adanya budaya-budaya yang berbeda di lingkungan sekitar.</t>
  </si>
  <si>
    <t>Menjalin pertemanan tanpa memandang perbedaan diri dan temannya</t>
  </si>
  <si>
    <t>Mulai berpartisipasi menentukan beberapa pilihan untuk keperluan bersama dalam lingkungan kecil</t>
  </si>
  <si>
    <t>Mulai mengenali keberadaan dan perannya dalam lingkungan keluarga dan sekolah</t>
  </si>
  <si>
    <t>Mengidentifikasi dan mendeskripsikan ide-ide tentang dirinya dan beberapa macam kelompok di lingkungan sekitarnya</t>
  </si>
  <si>
    <t>Mengidentifikasi dan mendeskripsikan praktik keseharian diri dan budayanya</t>
  </si>
  <si>
    <t>Mendeskripsikan pengalaman dan pemahaman hidup bersama-sama dalam kemajemukan.</t>
  </si>
  <si>
    <t>Mengenali bahwa diri dan orang lain menggunakan kata, gambar, dan bahasa tubuh yang dapat memiliki makna yang berbeda di lingkungan sekitarnya</t>
  </si>
  <si>
    <t>Mengekspresikan pandangannya terhadap topik yang umum dan mendengarkan sudut pandang orang lain yang berbeda dari dirinya dalam lingkungan keluarga dan sekolah</t>
  </si>
  <si>
    <t>Menyebutkan apa yang telah dipelajari tentang orang lain dari interaksinya dengan kemajemukan budaya di lingkungan sekolah dan rumah</t>
  </si>
  <si>
    <t>mengenali perbedaan tiap orang atau kelompok dan menganggapnya sebagai kewajaran</t>
  </si>
  <si>
    <t>Mengidentifikasi perbedaan-perbedaan budaya yang konkrit di lingkungan sekitar</t>
  </si>
  <si>
    <t>Menjalin pertemanan tanpa memandang perbedaan agama, suku, ras, jenis kelamin, dan perbedaan lainnya, dan mengenal masalah-masalah sosial, ekonomi, dan lingkungan di lingkungan sekitarnya</t>
  </si>
  <si>
    <t>Mengidentifikasi pilihan-pilihan berdasarkan kebutuhan dirinya dan orang lain ketika membuat keputusan</t>
  </si>
  <si>
    <t>Mengidentifikasi peran, hak dan kewajiban warga dalam masyarakat demokratis</t>
  </si>
  <si>
    <t>Mengidentifikasi dan mendeskripsikan ide-ide tentang dirinya dan berbagai macam kelompok di lingkungan sekitarnya, serta cara orang lain berperilaku dan berkomunikasi dengannya.</t>
  </si>
  <si>
    <t>Mengidentifikasi dan membandingkan praktik keseharian diri dan budayanya dengan orang lain di tempat dan waktu/era yang berbeda.</t>
  </si>
  <si>
    <t>Memahami bahwa kemajemukan dapat memberikan kesempatan untuk mendapatkan pengalaman dan pemahaman yang baru.</t>
  </si>
  <si>
    <t>Mendeskripsikan penggunaan kata, tulisan dan bahasa tubuh yang memiliki makna yang berbeda di lingkungan sekitarnya dan dalam suatu budaya tertentu.</t>
  </si>
  <si>
    <t>Mengekspresikan pandangannya terhadap topik yang umum dan dapat mengidentifikasi sudut pandang orang lain. Mendengarkan dan membayangkan sudut pandang orang lain yang berbeda dari dirinya pada situasi di ranah sekolah, keluarga, dan lingkungan sekitar.</t>
  </si>
  <si>
    <t>Menyebutkan apa yang telah dipelajari tentang orang lain dari interaksinya dengan kemajemukan budaya di lingkungan sekitar.</t>
  </si>
  <si>
    <t>Mengkonfirmasi dan mengklarifikasi stereotip dan prasangka yang dimilikinya tentang orang atau kelompokdi sekitarnya untuk mendapatkan pemahaman yang lebih baik</t>
  </si>
  <si>
    <t>Mengenali bahwa perbedaan budaya mempengaruhi pemahaman antarindividu.</t>
  </si>
  <si>
    <t>Mengidentifikasi cara berkontribusi terhadap lingkungan sekolah, rumah dan lingkungan sekitarnya yang inklusif, adil dan berkelanjutan</t>
  </si>
  <si>
    <t>Berpartisipasi menentukan beberapa pilihan untuk keperluan bersama berdasarkan kriteria sederhana</t>
  </si>
  <si>
    <t>Memahami konsep hak dan kewajiban, serta implikasinya terhadap perilakunya.</t>
  </si>
  <si>
    <t>Mengidentifikasi dan mendeskripsikan keragaman budaya di sekitarnya; serta menjelaskan peran budaya dan Bahasa dalam membentuk identitas dirinya.</t>
  </si>
  <si>
    <t>Mendeskripsikan dan membandingkan pengetahuan, kepercayaan, dan praktik dari berbagai kelompok budaya.</t>
  </si>
  <si>
    <t>Mengidentifikasi peluang dan tantangan yang muncul dari keragaman budaya di Indonesia.</t>
  </si>
  <si>
    <t>Memahami persamaan dan perbedaan cara komunikasi baik di dalam maupun antar kelompok budaya.</t>
  </si>
  <si>
    <t>Membandingkan beragam perspektif untuk memahami permasalahan sehari-hari. Membayangkan dan mendeskripsikan situasi komunitas yang berbeda dengan dirinya ke dalam situasi dirinya dalam konteks lokal dan regional.</t>
  </si>
  <si>
    <t>Menjelaskan apa yang telah dipelajari dari interaksi dan pengalaman dirinya dalam lingkungan yang beragam.</t>
  </si>
  <si>
    <t>Mengkonfirmasi dan mengklarifikasi stereotip dan prasangka yang dimilikinya tentang orang atau kelompok di sekitarnya untuk mendapatkan pemahaman yang lebih baik serta mengidentifikasi pengaruhnya terhadap individu dan kelompok di lingkungan sekitarnya</t>
  </si>
  <si>
    <t>Mencari titik temu nilai budaya yang beragam untuk menyelesaikan permasalahan bersama.</t>
  </si>
  <si>
    <t>Membandingkan beberapa tindakan dan praktik perbaikan lingkungan sekolah yang inklusif, adil, dan berkelanjutan, dengan mempertimbangkan dampaknya secara jangka panjang terhadap manusia, alam, dan masyarakat</t>
  </si>
  <si>
    <t>Berpartisipasi dalam menentukan kriteria yang disepakati bersama untuk menentukan pilihan dan keputusan untuk kepentingan bersama</t>
  </si>
  <si>
    <t>Memahami konsep hak dan kewajiban, serta implikasinya terhadap perilakunya. Menggunakan konsep ini untuk menjelaskan perilaku diri dan orang sekitarnya</t>
  </si>
  <si>
    <t>Menjelaskan perubahan budaya seiring waktu dan sesuai konteks, baik dalam skala lokal, regional, dan nasional. Menjelaskan identitas diri yang terbentuk dari budaya bangsa.</t>
  </si>
  <si>
    <t>Memahami dinamika budaya yang mencakup pemahaman, kepercayaan, dan praktik keseharian dalam konteks personal dan sosial.</t>
  </si>
  <si>
    <t>Memahami pentingnya melestarikan dan merayakan tradisi budaya untuk mengembangkan identitas pribadi, sosial, dan bangsa Indonesia serta mulai berupaya melestarikan budaya dalam kehidupan sehari-hari.</t>
  </si>
  <si>
    <t>Mengeksplorasi pengaruh budaya terhadap penggunaan bahasa serta dapat mengenali risiko dalam berkomunikasi antar budaya.</t>
  </si>
  <si>
    <t>Menjelaskan asumsi-asumsi yang mendasari perspektif tertentu. Membayangkan dan mendeskripsikan perasaan serta motivasi komunitas yang berbeda dengan dirinya yang berada dalam situasi yang sulit.</t>
  </si>
  <si>
    <t>Merefleksikan secara kritis gambaran berbagai kelompok budaya yang ditemui dan cara meresponnya.</t>
  </si>
  <si>
    <t>Mengkonfirmasi, mengklarifikasi dan menunjukkan sikapmenolak stereotip serta prasangka tentang gambaran identitas kelompok dan suku bangsa.</t>
  </si>
  <si>
    <t>Mengidentifikasi masalah yang ada di sekitarnya sebagai akibat dari pilihan yang dilakukan oleh manusia, serta dampak masalah tersebut terhadap sistem ekonomi, sosial dan lingkungan, serta mencari solusi yang memperhatikan prinsip-prinsip keadilan terhadap manusia, alam dan masyarakat</t>
  </si>
  <si>
    <t>Berpartisipasi dalam menentukan kriteria dan metode yang disepakati bersama untuk menentukan pilihan dan keputusan untuk kepentingan bersama melalui proses bertukar pikiran secara cermat dan terbuka dengan panduan pendidik</t>
  </si>
  <si>
    <t>Memahami konsep hak dan kewajiban serta implikasinya terhadap ekspresi dan perilakunya. Mulai aktif mengambil sikap dan langkah untuk melindungi hak orang/kelompok lain.</t>
  </si>
  <si>
    <t>Menganalisis pengaruh keanggotaan kelompok lokal, regional, nasional, dan global terhadap pembentukan identitas, termasuk identitas dirinya. Mulai menginternalisasi identitas diri sebagai bagian dari budaya bangsa.</t>
  </si>
  <si>
    <t>Menganalisis dinamika budaya yang mencakup pemahaman, kepercayaan, dan praktik keseharian dalam rentang waktu yang panjang dan konteks yang luas.</t>
  </si>
  <si>
    <t>Memahami pentingnya saling menghormati dalam mempromosikan pertukaran budaya dan kolaborasi dalam dunia yang saling terhubung serta menunjukkannya dalam perilaku.</t>
  </si>
  <si>
    <t>Menganalisis hubungan antara bahasa, pikiran, dan konteks untuk memahami dan meningkatkan komunikasi antar budaya yang berbeda-beda.</t>
  </si>
  <si>
    <t>Menyajikan pandangan yang seimbang mengenai permasalahan yang dapat menimbulkan pertentangan pendapat. Memperlakukan orang lain dan budaya yang berbeda darinya dalam posisi setara dengan diri dan budayanya, serta bersedia memberikan pertolongan ketika orang lain berada dalam situasi sulit.</t>
  </si>
  <si>
    <t>Merefleksikan secara kritis dampak dari pengalaman hidup di lingkungan yang beragam terkait dengan perilaku, kepercayaan serta tindakannya terhadap orang lain.</t>
  </si>
  <si>
    <t>Mengkritik dan menolak stereotip serta prasangka tentang gambaran identitas kelompok dan suku bangsa serta berinisiatif mengajak orang lain untuk menolak stereotip dan prasangka.</t>
  </si>
  <si>
    <t>Mengetahui tantangan dan keuntungan hidup dalam lingkungan dengan budaya yang beragam, serta memahami pentingnya kerukunan antar budaya dalam kehidupan bersama yang harmonis.</t>
  </si>
  <si>
    <t>Berinisiatif melakukan suatu tindakan berdasarkan identifikasi masalah untuk mempromosikan keadilan, keamanan ekonomi, menopang ekologi dan demokrasi sambil menghindari kerugian jangka panjang terhadap manusia, alam ataupun masyarakat.</t>
  </si>
  <si>
    <t>Berpartisipasi menentukan pilihan dan keputusan untuk kepentingan bersama melalui proses bertukar pikiran secara cermat dan terbuka secara mandiri</t>
  </si>
  <si>
    <t>Memahami konsep hak dan kewajiban, serta implikasinya terhadap ekspresi dan perilakunya. Mulai mencari solusi untuk dilema terkait konsep hak dan kewajibannya.</t>
  </si>
  <si>
    <t>Terbiasa bekerja bersama dalam melakukah kegiatan dengan kelompok (melibatkan dua atau lebih orang).</t>
  </si>
  <si>
    <t>Menyimak informasi sederhana dan mengungkapkannya dalam bahasa lisan</t>
  </si>
  <si>
    <t>Mengenali dan menyampaikan kebutuhan-kebutuhan diri sendiri dan orang lain</t>
  </si>
  <si>
    <t>Melaksanakan aktivitas bermain sesuai dengan kesepakatan bersama dan saling mengingatkan adanya kesepakatan tersebut.</t>
  </si>
  <si>
    <t>Mulai mengenali dan mengapresiasi orang-orang di rumah dan sekolah, untuk merespon kebutuhan di rumah dan sekolah.</t>
  </si>
  <si>
    <t>Mengenali berbagai reaksi orang lain di lingkungan sekitar.</t>
  </si>
  <si>
    <t xml:space="preserve">
Mulai membiasakan untuk berbagi kepada orangorang di sekitar.</t>
  </si>
  <si>
    <t>Menerima dan melaksanakan tugas serta peran yang diberikan kelompok dalam sebuah kegiatan bersama.</t>
  </si>
  <si>
    <t>Memahami informasi sederhana dari orang lain dan menyampaikan informasi sederhana kepada orang lain menggunakan kata-katanya sendiri.</t>
  </si>
  <si>
    <t>Mengenali kebutuhan-kebutuhan diri sendiri yang memerlukan orang lain dalam pemenuhannya.</t>
  </si>
  <si>
    <t>Melaksanakan aktivitas kelompok sesuai dengan kesepakatan bersama dengan bimbingan, dan saling mengingatkan adanya kesepakatan tersebut.</t>
  </si>
  <si>
    <t>Peka dan mengapresiasi orang-orang di lingkungan sekitar, kemudian melakukan tindakan sederhana untuk mengungkapkannya.</t>
  </si>
  <si>
    <t>Mengenali berbagai reaksi orang lain di lingkungan sekitar dan penyebabnya.</t>
  </si>
  <si>
    <t>Memberi dan menerima hal yang dianggap berharga dan penting kepada/dari orang-orang di lingkungan sekitar.</t>
  </si>
  <si>
    <t>Menampilkan tindakan yang sesuai dengan harapan dan tujuan kelompok.</t>
  </si>
  <si>
    <t>Memahami informasi yang disampaikan (ungkapan pikiran, perasaan, dan keprihatinan) orang lain dan menyampaikan informasi secara akurat menggunakan berbagai simbol dan media</t>
  </si>
  <si>
    <t>Menyadari bahwa setiap orang membutuhkan orang lain dalam memenuhi kebutuhannya dan perlunya saling membantu</t>
  </si>
  <si>
    <t>Menyadari bahwa dirinya memiliki peran yang berbeda dengan orang lain/temannya, serta mengetahui konsekuensi perannya terhadap ketercapaian tujuan.</t>
  </si>
  <si>
    <t>Peka dan mengapresiasi orang-orang di lingkungan sekitar, kemudian melakukan tindakan untuk menjaga keselarasan dalam berelasi dengan orang lain.</t>
  </si>
  <si>
    <t>Memahami berbagai alasan orang lain menampilkan respon tertentu</t>
  </si>
  <si>
    <t xml:space="preserve">
Memberi dan menerima hal yang dianggap penting dan berharga kepada/dari orang-orang di lingkungan sekitar baik yang dikenal maupun tidak dikenal.</t>
  </si>
  <si>
    <t>Menunjukkan ekspektasi (harapan) positif kepada orang lain dalam rangka mencapai tujuan kelompok di lingkungan sekitar (sekolah dan rumah).</t>
  </si>
  <si>
    <t>Memahami informasi dari berbagai sumber dan menyampaikan pesan menggunakan berbagai simbol dan media secara efektif kepada orang lain untuk mencapai tujuan bersama</t>
  </si>
  <si>
    <t>Menyadari bahwa meskipun setiap orang memiliki otonominya masing-masing, setiap orang membutuhkan orang lain dalam memenuhi kebutuhannya.</t>
  </si>
  <si>
    <t>Menyelaraskan tindakannya sesuai dengan perannya dan mempertimbangkan peran orang lain untuk mencapai tujuan bersama.</t>
  </si>
  <si>
    <t>Tanggap terhadap lingkungan sosial sesuai dengan tuntutan peran sosialnya dan menjaga keselarasan dalam berelasi dengan orang lain.</t>
  </si>
  <si>
    <t>Menerapkan pengetahuan mengenai berbagai reaksi orang lain dan penyebabnya dalam konteks keluarga, sekolah, serta pertemanan dengan sebaya.</t>
  </si>
  <si>
    <t>Memberi dan menerima hal yang dianggap penting dan berharga kepada/dari orang-orang di lingkungan luas/masyarakat baik yang dikenal maupun tidak dikenal.</t>
  </si>
  <si>
    <t>Menyelaraskan tindakan sendiri dengan tindakan orang lain untuk melaksanakan kegiatan dan mencapai tujuan kelompok di lingkungan sekitar, serta memberi semangat kepada orang lain untuk bekerja efektif dan mencapai tujuan bersama.</t>
  </si>
  <si>
    <t>Memahami informasi, gagasan, emosi, keterampilan dan keprihatinan yang diungkapkan oleh orang lain menggunakan berbagai simbol dan media secara efektif, serta memanfaatkannya untuk meningkatkan kualitas hubungan interpersonal guna mencapai tujuan bersama.</t>
  </si>
  <si>
    <t>Mendemonstrasikan kegiatan kelompok yang menunjukkan bahwa anggota kelompok dengan kelebihan dan kekurangannya masing-masing perlu dan dapat saling membantu memenuhi kebutuhan.</t>
  </si>
  <si>
    <t>Membagi peran dan menyelaraskan tindakan dalam kelompok serta menjaga tindakan agar selaras untuk mencapai tujuan bersama.</t>
  </si>
  <si>
    <t>Tanggap terhadap lingkungan sosial sesuai dengan tuntutan peran sosialnya dan berkontribusi sesuai dengan kebutuhan masyarakat.</t>
  </si>
  <si>
    <t>Menggunakan pengetahuan tentang sebab dan alasan orang lain menampilkan reaksi tertentu untuk menentukan tindakan yang tepat agar orang lain menampilkan respon yang diharapkan.</t>
  </si>
  <si>
    <t xml:space="preserve">
Mengupayakan memberi hal yang dianggap penting dan berharga kepada masyarakat yang membutuhkan bantuan di sekitar tempat tinggal</t>
  </si>
  <si>
    <t>Membangun tim dan mengelola kerjasama untuk mencapai tujuan bersama sesuai dengan target yang sudah ditentukan.</t>
  </si>
  <si>
    <t>Aktif menyimak untuk memahami dan menganalisis informasi, gagasan, emosi, keterampilan dan keprihatinan yang disampaikan oleh orang lain dan kelompok menggunakan berbagai simbol dan media secara efektif, serta menggunakan berbagai strategi komunikasi untuk menyelesaikan masalah guna mencapai berbagai tujuan bersama.</t>
  </si>
  <si>
    <t>Menyelaraskan kapasitas kelompok agar para anggota kelompok dapat saling membantu satu sama lain memenuhi kebutuhan mereka baik secara individual maupun kolektif.</t>
  </si>
  <si>
    <t>Menyelaraskan dan menjaga tindakan diri dan anggota kelompok agar sesuai antara satu dengan lainnya serta menerima konsekuensi tindakannya dalam rangka mencapai tujuan bersama.</t>
  </si>
  <si>
    <t>Tanggap terhadap lingkungan sosial sesuai dengan tuntutan peran sosialnya dan berkontribusi sesuai dengan kebutuhan masyarakat untuk menghasilkan keadaan yang lebih baik.</t>
  </si>
  <si>
    <t>Melakukan tindakan yang tepat agar orang lain merespon sesuai dengan yang diharapkan dalam rangka penyelesaian pekerjaan dan pencapaian tujuan.</t>
  </si>
  <si>
    <t>Mengupayakan memberi hal yang dianggap penting dan berharga kepada orang-orang yang membutuhkan di masyarakat yang lebih luas (negara, dunia).</t>
  </si>
  <si>
    <t>Mengenali kemampuan dan minat/kesukaan diri serta menerima keberadaaan dan keunikan diri sendiri</t>
  </si>
  <si>
    <t>Menceritakan pengalaman belajarnya di rumah maupun di sekolah.</t>
  </si>
  <si>
    <t>Mengenali emosi-emosi yang dirasakan dan situasi yang menyebabkan-nya, serta mulai belajar mengeskpresikan emosi secara wajar</t>
  </si>
  <si>
    <t>Menceritakan aktivitas yang akan dilakukan untuk menyelesaikan tugas yang diberikan</t>
  </si>
  <si>
    <t>Mencoba mengerjakan berbagai tugas sederhana dengan pengawasan dan dukungan orang dewasa</t>
  </si>
  <si>
    <t>Mengatur diri agar dapat menyelesaikan kegiatannya hingga tuntas.</t>
  </si>
  <si>
    <t>Berani mencoba, adaptif dalam situasi baru, dan mencoba untuk tidak mudah menyerah saat mendapatkan tantangan</t>
  </si>
  <si>
    <t>Mengidentifikasi dan menggambarkan kemampuan, prestasi, dan ketertarikannya secara subjektif</t>
  </si>
  <si>
    <t>Melakukan refleksi untuk mengidentifikasi kekuatan dan kelemahan, serta prestasi dirinya.</t>
  </si>
  <si>
    <t>Mengidentifikasi perbedaan emosi yang dirasakannya dan situasi-situasi yang menyebabkan-nya; serta mengekspresi-kan secara wajar</t>
  </si>
  <si>
    <t>Menetapkan target belajar dan merencanakan waktu dan tindakan belajar yang akan dilakukannya.</t>
  </si>
  <si>
    <t>Berinisiatif untuk mengerjakan tugas-tugas rutin secara mandiri dibawah pengawasan dan dukungan orang dewasa</t>
  </si>
  <si>
    <t>Melaksanakan kegiatan belajar di kelas dan menyelesaikan tugas-tugas dalam waktu yang telah disepakati.</t>
  </si>
  <si>
    <t>Berani mencoba dan adaptif menghadapi situasi baru serta bertahan mengerjakan tugas-tugas yang disepakati hingga tuntas</t>
  </si>
  <si>
    <t>Mengidentifikasi kemampuan, prestasi, dan ketertarikannya serta tantangan yang dihadapi berdasarkan kejadian-kejadian yang dialaminya dalam kehidupan sehari-hari.</t>
  </si>
  <si>
    <t>Melakukan refleksi untuk mengidentifikasi kekuatan, kelemahan, dan prestasi dirinya, serta situasi yang dapat mendukung dan menghambat pembelajaran dan pengembangan dirinya</t>
  </si>
  <si>
    <t>Mengetahui adanya pengaruh orang lain, situasi, dan peristiwa yang terjadi terhadap emosi yang dirasakannya; serta berupaya untuk mengekspresikan emosi secara tepat dengan mempertimbangkan perasaan dan kebutuhan orang lain disekitarnya</t>
  </si>
  <si>
    <t>Menjelaskan pentingnya memiliki tujuan dan berkomitmen dalam mencapainya serta mengeksplorasi langkah-langkah yang sesuai untuk mencapainya</t>
  </si>
  <si>
    <t>Mempertimbangkan, memilih dan mengadopsi berbagai strategi dan mengidentifikasi sumber bantuan yang diperlukan serta berinisiatif menjalankannya untuk mendapatkan hasil belajar yang diinginkan.</t>
  </si>
  <si>
    <t>Menjelaskan pentingnya mengatur diri secara mandiri dan mulai menjalankan kegiatan dan tugas yang telah sepakati secara mandiri</t>
  </si>
  <si>
    <t>Tetap bertahan mengerjakan tugas ketika dihadapkan dengan tantangan dan berusaha menyesuaikan strateginya ketika upaya sebelumnya tidak berhasil.</t>
  </si>
  <si>
    <t>Menggambarkan pengaruh kualitas dirinya terhadap pelaksanaan dan hasil belajar; serta mengidentifikasi kemampuan yang ingin dikembangkan dengan mempertimbangkan tantangan yang dihadapinya dan umpan balik dari orang dewasa</t>
  </si>
  <si>
    <t>Melakukan refleksi untuk mengidentifikasi faktor-faktor di dalam maupun di luar dirinya yang dapat mendukung/menghambatnya dalam belajar dan mengembangkan diri; serta mengidentifikasi cara-cara untuk mengatasi kekurangannya.</t>
  </si>
  <si>
    <t>Memahami perbedaan emosi yang dirasakan dan dampaknya terhadap proses belajar dan interaksinya dengan orang lain; serta mencoba cara-cara yang sesuai untuk mengelola emosi agar dapat menunjang aktivitas belajar dan interaksinya dengan orang lain.</t>
  </si>
  <si>
    <t>Menilai faktor-faktor (kekuatan dan kelemahan) yang ada pada dirinya dalam upaya mencapai tujuan belajar, prestasi, dan pengembangan dirinya serta mencoba berbagai strategi untuk mencapainya.</t>
  </si>
  <si>
    <t>Memahami arti penting bekerja secara mandiri serta inisiatif untuk melakukannya dalam menunjang pembelajaran dan pengembangan dirinya</t>
  </si>
  <si>
    <t>Mengidentifikasi faktor-faktor yang dapat mempengaruhi kemampuan dalam mengelola diri dalam pelaksanaan aktivitas belajar dan pengembangan dirinya.</t>
  </si>
  <si>
    <t>Menyusun, menyesuaikan, dan mengujicobakan berbagai strategi dan cara kerjanya untuk membantu dirinya dalam penyelesaian tugas yang menantang</t>
  </si>
  <si>
    <t>Membuat penilaian yang realistis terhadap kemampuan dan minat , serta prioritas pengembangan diri berdasarkan pengalaman belajar dan aktivitas lain yang dilakukannya.</t>
  </si>
  <si>
    <t>Memonitor kemajuan belajar yang dicapai serta memprediksi tantangan pribadi dan akademik yang akan muncul berlandaskan pada pengalamannya untuk mempertimbangkan strategi belajar yang sesuai.</t>
  </si>
  <si>
    <t>Memahami dan memprediksi konsekuensi dari emosi dan pengekspresiannya dan menyusun langkah-langkah untuk mengelola emosinya dalam pelaksanaan belajar dan berinteraksi dengan orang lain.</t>
  </si>
  <si>
    <t>Merancang strategi yang sesuai untuk menunjang pencapaian tujuan belajar, prestasi, dan pengembangan diri dengan mempertimbangkan kekuatan dan kelemahan dirinya, serta situasi yang dihadapi.</t>
  </si>
  <si>
    <t>Mengkritisi efektivitas dirinya dalam bekerja secara mandiri dengan mengidentifikasi hal-hal yang menunjang maupun menghambat dalam mencapai tujuan.</t>
  </si>
  <si>
    <t>Berkomitmen dan menjaga konsistensi pencapaian tujuan yang telah direncanakannya untuk mencapai tujuan belajar dan pengembangan diri yang diharapkannya</t>
  </si>
  <si>
    <t>Membuat rencana baru dengan mengadaptasi, dan memodifikasi strategi yang sudah dibuat ketika upaya sebelumnya tidak berhasil, serta menjalankan kembali tugasnya dengan keyakinan baru.</t>
  </si>
  <si>
    <t>Mengidentifikasi kekuatan dan tantangan-tantangan yang akan dihadapi pada konteks pembelajaran, sosial dan pekerjaan yang akan dipilihnya di masa depan.</t>
  </si>
  <si>
    <t>Melakukan refleksi terhadap umpan balik dari teman, guru, dan orang dewasa lainnya, serta informasi-informasi karir yang akan dipilihnya untuk menganalisis karakteristik dan keterampilan yang dibutuhkan dalam menunjang atau menghambat karirnya di masa depan.</t>
  </si>
  <si>
    <t>Mengendalikan dan menyesuaikan emosi yang dirasakannya secara tepat ketika menghadapi situasi yang menantang dan menekan pada konteks belajar, relasi, dan pekerjaan.</t>
  </si>
  <si>
    <t>Mengevaluasi efektivitas strategi pembelajaran digunakannya, serta menetapkan tujuan belajar, prestasi, dan pengembangan diri secara spesifik dan merancang strategi yang sesuai untuk menghadapi tantangan-tantangan yang akan dihadapi pada konteks pembelajaran, sosial dan pekerjaan yang akan dipilihnya di masa depan.</t>
  </si>
  <si>
    <t>Menentukan prioritas pribadi, berinisiatif mencari dan mengembangkan pengetahuan dan keterampilan yang spesifik sesuai tujuan di masa depan.</t>
  </si>
  <si>
    <t>Melakukan tindakan-tindakan secara konsisten guna mencapai tujuan karir dan pengembangan dirinya di masa depan, serta berusaha mencari dan melakukan alternatif tindakan lain yang dapat dilakukan ketika menemui hambatan.</t>
  </si>
  <si>
    <t>Menyesuaikan dan mulai menjalankan rencana dan strategi pengembangan dirinya dengan mempertimbangkan minat dan tuntutan pada konteks belajar maupun pekerjaan yang akan dijalaninya di masa depan, serta berusaha untuk mengatasi tantangan-tantangan yang ditemui.
Profil Pelajar Pancasila
Pilih Fase
Fase E
Dimensi &amp; Elemen
Beriman, Bertakwa Kepada Tuhan Yang Maha Esa, dan Berakhlak Mulia
Berkebinekaan Global
Bergotong-Royong
Mandiri
Elemen
Pemahaman diri dan situasi yang dihadapi
Regulasi Diri
Bernalar Kritis
Kreatif</t>
  </si>
  <si>
    <t>Bertanya untuk memenuhi rasa ingin tahu terhadap diri dan lingkungannya.</t>
  </si>
  <si>
    <t>Mengidentifikasi dan mengolah informasi dan gagasan sederhana.</t>
  </si>
  <si>
    <t>Menyebutkan alasan dari pilihan atau keputusannya</t>
  </si>
  <si>
    <t>Menyampaikan apa yang dipikirkan dengan singkat</t>
  </si>
  <si>
    <t>Mengajukan pertanyaan untuk menjawab keingintahuannya dan untuk mengidentifikasi suatu permasalahan mengenai dirinya dan lingkungan sekitarnya.</t>
  </si>
  <si>
    <t>Mengidentifikasi dan mengolah informasi dan gagasan</t>
  </si>
  <si>
    <t>Melakukan penalaran konkrit dan memberikan alasan dalam menyelesaikan masalah dan mengambil keputusan</t>
  </si>
  <si>
    <t>Menyampaikan apa yang sedang dipikirkan secara terperinci</t>
  </si>
  <si>
    <t>Mengajukan pertanyaan untuk mengidentifikasi suatu permasalahan dan mengkonfirmasi pemahaman terhadap suatu permasalahan mengenai dirinya dan lingkungan sekitarnya.</t>
  </si>
  <si>
    <t>Mengumpulkan, mengklasifikasikan, membandingkan dan memilih informasi dan gagasan dari berbagai sumber.</t>
  </si>
  <si>
    <t>Menjelaskan alasan yang relevan dalam penyelesaian masalah dan pengambilan keputusan</t>
  </si>
  <si>
    <t>Menyampaikan apa yang sedang dipikirkan dan menjelaskan alasan dari hal yang dipikirkan</t>
  </si>
  <si>
    <t>Mengajukan pertanyaan untuk membandingkan berbagai informasi dan untuk menambah pengetahuannya.</t>
  </si>
  <si>
    <t>Mengumpulkan, mengklasifikasikan, membandingkan, dan memilih informasi dari berbagai sumber, serta memperjelas informasi dengan bimbingan orang dewasa.</t>
  </si>
  <si>
    <t>Menjelaskan alasan yang relevan dan akurat dalam penyelesaian masalah dan pengambilan keputusan</t>
  </si>
  <si>
    <t>Memberikan alasan dari hal yang dipikirkan, serta menyadari kemungkinan adanya bias pada pemikirannya sendiri
Profil Pelajar Pancasila
Pilih Fase
Fase C
Dimensi &amp; Elemen</t>
  </si>
  <si>
    <t>Mengajukan pertanyaan untuk klarifikasi dan interpretasi informasi, serta mencari tahu penyebab dan konsekuensi dari informasi tersebut.</t>
  </si>
  <si>
    <t>Mengidentifikasi, mengklarifikasi, dan menganalisis informasi yang relevan serta memprioritaskan beberapa gagasan tertentu.</t>
  </si>
  <si>
    <t>Membuktikan penalaran dengan berbagai argumen dalam mengambil suatu simpulan atau keputusan.</t>
  </si>
  <si>
    <t>Menjelaskan asumsi yang digunakan, menyadari kecenderungan dan konsekuensi bias pada pemikirannya, serta berusaha mempertimbangkan perspektif yang berbeda.</t>
  </si>
  <si>
    <t>Mengajukan pertanyaan untuk menganalisis secara kritis permasalahan yang kompleks dan abstrak.</t>
  </si>
  <si>
    <t>Secara kritis mengklarifikasi serta menganalisis gagasan dan informasi yang kompleks dan abstrak dari berbagai sumber. Memprioritaskan suatu gagasan yang paling relevan dari hasil klarifikasi dan analisis.</t>
  </si>
  <si>
    <t>Menganalisis dan mengevaluasi penalaran yang digunakannya dalam menemukan dan mencari solusi serta mengambil keputusan.</t>
  </si>
  <si>
    <t>Menjelaskan alasan untuk mendukung pemikirannya dan memikirkan pandangan yang mungkin berlawanan dengan pemikirannya dan mengubah pemikirannya jika diperlukan.</t>
  </si>
  <si>
    <t>Menggabungkan beberapa gagasan menjadi ide atau gagasan sederhana dan imajinatif yang bermakna untuk mengekspresikan pikiran dan/atau perasaannya.</t>
  </si>
  <si>
    <t>Mengeksplorasi dan mengekspresikan pikiran dan/atau perasaannya dalam bentuk karya dan/atau tindakan sederhana serta mengapresiasi karya dan tindakan yang dihasilkan</t>
  </si>
  <si>
    <t>Menentukan pilihan dari beberapa alternatif yang diberikan</t>
  </si>
  <si>
    <t>Menggabungkan beberapa gagasan menjadi ide atau gagasan imajinatif yang bermakna untuk mengekspresikan pikiran dan/atau perasaannya.</t>
  </si>
  <si>
    <t>Mengeksplorasi dan mengekspresikan pikiran dan/atau perasaannya dalam bentuk karya dan/atau tindakan serta mengapresiasi karya dan tindakan yang dihasilkan</t>
  </si>
  <si>
    <t>Mengidentifikasi gagasan-gagasan kreatif untuk menghadapi situasi dan permasalahan.</t>
  </si>
  <si>
    <t>Memunculkan gagasan imajinatif baru yang bermakna dari beberapa gagasan yang berbeda sebagai ekspresi pikiran dan/atau perasaannya.</t>
  </si>
  <si>
    <t>Mengeksplorasi dan mengekspresikan pikiran dan/atau perasaannya sesuai dengan minat dan kesukaannya dalam bentuk karya dan/atau tindakan serta mengapresiasi karya dan tindakan yang dihasilkan</t>
  </si>
  <si>
    <t>Membandingkan gagasan-gagasan kreatif untuk menghadapi situasi dan permasalahan.</t>
  </si>
  <si>
    <t>Mengembangkan gagasan yang ia miliki untuk membuat kombinasi hal yang baru dan imajinatif untuk mengekspresikan pikiran dan/atau perasaannya.</t>
  </si>
  <si>
    <t>Mengeksplorasi dan mengekspresikan pikiran dan/atau perasaannya sesuai dengan minat dan kesukaannya dalam bentuk karya dan/atau tindakan serta mengapresiasi dan mengkritik karya dan tindakan yang dihasilkan</t>
  </si>
  <si>
    <t>berupaya mencari solusi alternatif saat pendekatan yang diambil tidak berhasil berdasarkan identifikasi terhadap situasi</t>
  </si>
  <si>
    <t>Menghubungkan gagasan yang ia miliki dengan informasi atau gagasan baru untuk menghasilkan kombinasi gagasan baru dan imajinatif untuk mengekspresikan pikiran dan/atau perasaannya.</t>
  </si>
  <si>
    <t>Mengeksplorasi dan mengekspresikan pikiran dan/atau perasaannya dalam bentuk karya dan/atau tindakan, serta mengevaluasinya dan mempertimbangkan dampaknya bagi orang lain</t>
  </si>
  <si>
    <t>Menghasilkan solusi alternatif dengan mengadaptasi berbagai gagasan dan umpan balik untuk menghadapi situasi dan permasalahan</t>
  </si>
  <si>
    <t>Menghasilkan gagasan yang beragam untuk mengekspresikan pikiran dan/atau perasaannya, menilai gagasannya, serta memikirkan segala risikonya dengan mempertimbangkan banyak perspektif seperti etika dan nilai kemanusiaan ketika gagasannya direalisasikan.</t>
  </si>
  <si>
    <t>Mengeksplorasi dan mengekspresikan pikiran dan/atau perasaannya dalam bentuk karya dan/atau tindakan, serta mengevaluasinya dan mempertimbangkan dampak dan risikonya bagi diri dan lingkungannya dengan menggunakan berbagai perspektif.</t>
  </si>
  <si>
    <t>Bereksperimen dengan berbagai pilihan secara kreatif untuk memodifikasi gagasan sesuai dengan perubahan situasi.</t>
  </si>
  <si>
    <t>Dimensi 4</t>
  </si>
  <si>
    <t>Elemen 4</t>
  </si>
  <si>
    <t>Dimensi 5</t>
  </si>
  <si>
    <t>Elemen 5</t>
  </si>
  <si>
    <t>Dimensi 6</t>
  </si>
  <si>
    <t>Elemen 6</t>
  </si>
  <si>
    <t>Judul Proyek 1</t>
  </si>
  <si>
    <t>Proyek 1 Penguatan Profil Pelajar Pancasila secara berurutan dari Dimensi,</t>
  </si>
  <si>
    <t>Elemen dan Sub Elemen (dari kiri ke kanan)</t>
  </si>
  <si>
    <t>Sub Elemen 6</t>
  </si>
  <si>
    <t>Dimensi 7</t>
  </si>
  <si>
    <t>INPUT DIMENSI, ELEMEN, DAN SUB ELEMEN PROYEK 1</t>
  </si>
  <si>
    <t>Sub Elemen 1</t>
  </si>
  <si>
    <t>Sub Elemen 2</t>
  </si>
  <si>
    <t>Sub Elemen 3</t>
  </si>
  <si>
    <t>Sub Elemen 4</t>
  </si>
  <si>
    <t>Sub Elemen 5</t>
  </si>
  <si>
    <t>Sub Elemen 7</t>
  </si>
  <si>
    <t>Elemen 7</t>
  </si>
  <si>
    <t>Silahkan pilih dimensi, elemen dan sub elemen yang anda gunakan pada</t>
  </si>
  <si>
    <t>INPUT DIMENSI, ELEMEN, DAN SUB ELEMEN PROYEK 2</t>
  </si>
  <si>
    <t>Proyek 2 Penguatan Profil Pelajar Pancasila secara berurutan dari Dimensi,</t>
  </si>
  <si>
    <t>Judul Proyek 2</t>
  </si>
  <si>
    <t>INPUT DIMENSI, ELEMEN, DAN SUB ELEMEN PROYEK 3</t>
  </si>
  <si>
    <t>Judul Proyek 3</t>
  </si>
  <si>
    <t>Proyek 3 Penguatan Profil Pelajar Pancasila secara berurutan dari Dimensi,</t>
  </si>
  <si>
    <t>Capaian Tiap Fase akan berubah otomatis, tidak perlu diubah.</t>
  </si>
  <si>
    <t>INPUT DIMENSI, ELEMEN, DAN SUB ELEMEN PROYEK 4</t>
  </si>
  <si>
    <t>Judul Proyek 4</t>
  </si>
  <si>
    <t>Proyek 4 Penguatan Profil Pelajar Pancasila secara berurutan dari Dimensi,</t>
  </si>
  <si>
    <t>INPUT DIMENSI, ELEMEN, DAN SUB ELEMEN PROYEK 5</t>
  </si>
  <si>
    <t>Judul Proyek 5</t>
  </si>
  <si>
    <t>Proyek 5 Penguatan Profil Pelajar Pancasila secara berurutan dari Dimensi,</t>
  </si>
  <si>
    <t>INPUT DIMENSI, ELEMEN, DAN SUB ELEMEN PROYEK 6</t>
  </si>
  <si>
    <t>Judul Proyek 6</t>
  </si>
  <si>
    <t>Proyek 6 Penguatan Profil Pelajar Pancasila secara berurutan dari Dimensi,</t>
  </si>
  <si>
    <t>Tahun Ajaran</t>
  </si>
  <si>
    <t>NAMA</t>
  </si>
  <si>
    <t>BB</t>
  </si>
  <si>
    <t>MB</t>
  </si>
  <si>
    <t>BSH</t>
  </si>
  <si>
    <t>SB</t>
  </si>
  <si>
    <t>P</t>
  </si>
  <si>
    <t>Simbol untuk di copy.</t>
  </si>
  <si>
    <t xml:space="preserve">subelemen per fase. Sesuaikan dengan rubrik penilaian dengan mempertimbangkan </t>
  </si>
  <si>
    <t>jurnal guru, portofolio siswa, dan lain sebagainya.</t>
  </si>
  <si>
    <t>PENILAIAN PADA PROYEK 1</t>
  </si>
  <si>
    <t>Keterangan:</t>
  </si>
  <si>
    <t>Belum Berkembang</t>
  </si>
  <si>
    <t>Mulai Berkembang</t>
  </si>
  <si>
    <t>Berkembang Sesuai Harapan</t>
  </si>
  <si>
    <t>Sangat Berkembang</t>
  </si>
  <si>
    <t>Petunjuk</t>
  </si>
  <si>
    <t xml:space="preserve">Berikan tanda ceklist pada salah satu kolom yang dicapai peserta didik pada capaian </t>
  </si>
  <si>
    <t>PENILAIAN PADA PROYEK 2</t>
  </si>
  <si>
    <t>PENILAIAN PADA PROYEK 3</t>
  </si>
  <si>
    <t>PENILAIAN PADA PROYEK 4</t>
  </si>
  <si>
    <t>PENILAIAN PADA PROYEK 5</t>
  </si>
  <si>
    <t>PENILAIAN PADA PROYEK 6</t>
  </si>
  <si>
    <t>PENGUATAN PROFIL PELAJAR PANCASILA</t>
  </si>
  <si>
    <t>DATA KEGIATAN 1</t>
  </si>
  <si>
    <t>PROYEK PENGUATAN PROFIL PELAJAR PANCASILA</t>
  </si>
  <si>
    <t>Silahkan input data Proyek 1 sesuai dengan yang sudah diidentifikasi pada modul proyek anda</t>
  </si>
  <si>
    <t>Silahkan input penilaian akhir siswa tiap sub elemen sesuai dengan capaian per fasenya berdasarkan jurnal pendidik, portolio peserta didik, dll.</t>
  </si>
  <si>
    <t>DATA KEGIATAN 3</t>
  </si>
  <si>
    <t>DATA KEGIATAN 4</t>
  </si>
  <si>
    <t>DATA KEGIATAN 5</t>
  </si>
  <si>
    <t>DATA KEGIATAN 6</t>
  </si>
  <si>
    <t xml:space="preserve">DESKRIPSI </t>
  </si>
  <si>
    <t>Deskripsi</t>
  </si>
  <si>
    <t>T.A.</t>
  </si>
  <si>
    <t>Tuliskan secara singkat tentang deskripsi proyek yang dilakukan di sekolah anda pada tempat yang tersedia. Isikan sesuai dengan jumlah proyek yang anda lakukan selama 1 tahun ajaran</t>
  </si>
  <si>
    <t>RAPOR PROYEK PENGUATAN</t>
  </si>
  <si>
    <t>PROFIL PELAJAR PANCASILA</t>
  </si>
  <si>
    <t>Nama Siswa</t>
  </si>
  <si>
    <t>PROYEK 1</t>
  </si>
  <si>
    <t>PROYEK 2</t>
  </si>
  <si>
    <t>PROYEK 3</t>
  </si>
  <si>
    <t>Siswa masih membutuhkan bimbingan dalam mengembangkan kemampuan</t>
  </si>
  <si>
    <t>Siswa mulai mengembangkan kemampuan namun masih belum ajek</t>
  </si>
  <si>
    <t>Berkembang sesuai harapan</t>
  </si>
  <si>
    <t>Siswa telah mengembangkan kemampuan hingga berada dalam tahap ajek</t>
  </si>
  <si>
    <t>Siswa mengembangkan kemampuannya melampaui harapan</t>
  </si>
  <si>
    <t>TA</t>
  </si>
  <si>
    <t>Catatan Proses</t>
  </si>
  <si>
    <t>Nama</t>
  </si>
  <si>
    <t>Proyek 1</t>
  </si>
  <si>
    <t>Proyek 2</t>
  </si>
  <si>
    <t>Proyek 3</t>
  </si>
  <si>
    <t>CATATAN PROSES</t>
  </si>
  <si>
    <t xml:space="preserve">Berikan tanda V pada salah satu kolom yang dicapai peserta didik pada capaian </t>
  </si>
  <si>
    <t xml:space="preserve">sub elemen per fase. Sesuaikan dengan rubrik penilaian dengan mempertimbangkan </t>
  </si>
  <si>
    <t>DATA KEGIATAN 2</t>
  </si>
  <si>
    <t>*) Sesuai dengan Kepmendikbudristek No. 56/M/2022</t>
  </si>
  <si>
    <t>*) Sesuai dengan Keputusan KBTSAP No.009/H/KR/2022</t>
  </si>
  <si>
    <t>Mengetahui,</t>
  </si>
  <si>
    <t>Orang Tua</t>
  </si>
  <si>
    <t>Kepala Sekolah</t>
  </si>
  <si>
    <t>Elemen dan Sub Elemen (dari kiri ke kanan). Jangan lupa pilih fase.</t>
  </si>
  <si>
    <t>Elemen dan Sub Elemen (dari kiri ke kanan). Jangan lupa pilih Fase.</t>
  </si>
  <si>
    <t>Elemen dan Sub Elemen (dari kiri ke kanan). Jangan lupa memilih Fase.</t>
  </si>
  <si>
    <t>Silahkan input catatan proses pelaksanaan proyek tiap siswa per proyek berdasarkan data observasi, catatan kaki, jurnal pendidik, portofolio peserta, dll</t>
  </si>
  <si>
    <t>KETERANGAN TINGKAT PENCAPAIAN SISWA</t>
  </si>
  <si>
    <t>Aplikasi Penilaian Proyek ini bisa digunakan untuk Penilaian Jenjang PAUD sampai SMA,          Fase A sampai E pada       Program Sekolah Penggerak</t>
  </si>
  <si>
    <t>: Ayu Chandra Astari, S.Pd., M.Pd.</t>
  </si>
  <si>
    <t>Tempat/Tgl Lahir</t>
  </si>
  <si>
    <t>: Malang, 6 November 1985</t>
  </si>
  <si>
    <t>Unit Kerja</t>
  </si>
  <si>
    <t>Jabatan</t>
  </si>
  <si>
    <t>: Guru Kelas</t>
  </si>
  <si>
    <t>Pendidikan Terakhir</t>
  </si>
  <si>
    <t>: Magister Pendidikan Dasar Konsentrasi Guru Kelas</t>
  </si>
  <si>
    <t>: Universitas Negeri Malang</t>
  </si>
  <si>
    <t>Kota</t>
  </si>
  <si>
    <t>: Kota Batu</t>
  </si>
  <si>
    <t xml:space="preserve">: SDN Oro-Oro Ombo 02 </t>
  </si>
  <si>
    <t>: Jawa Timur</t>
  </si>
  <si>
    <t>Handphone</t>
  </si>
  <si>
    <t xml:space="preserve">: 088805566108 / 081331542365 </t>
  </si>
  <si>
    <t>Email</t>
  </si>
  <si>
    <t xml:space="preserve">: ayuchandraastari@gmail.com </t>
  </si>
  <si>
    <t>Pengalaman</t>
  </si>
  <si>
    <t>: Instruktur Program Sekolah Penggerak Tahap I Tahun 2021</t>
  </si>
  <si>
    <t>: Narasumber Rumpun Kurikulum Bimtek Fasilitator Sekolah Penggerak Tahap 2 Tahun 2022</t>
  </si>
  <si>
    <t>LPTK</t>
  </si>
  <si>
    <t>PROFIL PENGEMBANG</t>
  </si>
  <si>
    <t>CONTOH DESKRIPSI 1</t>
  </si>
  <si>
    <t>CONTOH DESKRIPSI 2</t>
  </si>
  <si>
    <t>CONTOH CATATAN PROSES 1</t>
  </si>
  <si>
    <t>CONTOH CATATAN PROSES 2</t>
  </si>
  <si>
    <t>Note : Ketikkan huruf  V (kapital) sehingga terbaca pada bagian rapor</t>
  </si>
  <si>
    <t>Reedit by : Pandunanda Primadifani Kafah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</si>
</sst>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21]dd\ mmmm\ yyyy;@"/>
    <numFmt numFmtId="165" formatCode="0;\-0;&quot;&quot;"/>
    <numFmt numFmtId="166" formatCode="[$-13809]dddd\,\ dd\ mmmm\ yyyy;@"/>
  </numFmts>
  <fonts count="39"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b/>
      <sz val="16"/>
      <color theme="1"/>
      <name val="Arial"/>
      <family val="2"/>
    </font>
    <font>
      <b/>
      <sz val="11"/>
      <color theme="1"/>
      <name val="Arial"/>
      <family val="2"/>
    </font>
    <font>
      <sz val="10"/>
      <name val="Arial"/>
      <family val="2"/>
    </font>
    <font>
      <sz val="11"/>
      <color theme="1"/>
      <name val="Calibri"/>
      <family val="2"/>
      <charset val="1"/>
      <scheme val="minor"/>
    </font>
    <font>
      <b/>
      <sz val="11"/>
      <color theme="0"/>
      <name val="Arial Narrow"/>
      <family val="2"/>
    </font>
    <font>
      <b/>
      <sz val="12"/>
      <color theme="0"/>
      <name val="Arial Narrow"/>
      <family val="2"/>
    </font>
    <font>
      <sz val="10"/>
      <name val="Arial Narrow"/>
      <family val="2"/>
    </font>
    <font>
      <sz val="8"/>
      <name val="Arial Narrow"/>
      <family val="2"/>
    </font>
    <font>
      <sz val="10"/>
      <color theme="1"/>
      <name val="Arial Narrow"/>
      <family val="2"/>
    </font>
    <font>
      <sz val="10"/>
      <color indexed="8"/>
      <name val="Arial Narrow"/>
      <family val="2"/>
    </font>
    <font>
      <sz val="10"/>
      <color rgb="FF000000"/>
      <name val="Arial Narrow"/>
      <family val="2"/>
    </font>
    <font>
      <sz val="11"/>
      <color rgb="FF52575C"/>
      <name val="Calibri"/>
      <family val="2"/>
      <scheme val="minor"/>
    </font>
    <font>
      <sz val="11"/>
      <color theme="1"/>
      <name val="Arial Narrow"/>
      <family val="2"/>
    </font>
    <font>
      <b/>
      <sz val="11"/>
      <color theme="1"/>
      <name val="Arial Narrow"/>
      <family val="2"/>
    </font>
    <font>
      <b/>
      <sz val="20"/>
      <color theme="1"/>
      <name val="Book Antiqua"/>
      <family val="1"/>
    </font>
    <font>
      <sz val="9"/>
      <color theme="1"/>
      <name val="Arial Narrow"/>
      <family val="2"/>
    </font>
    <font>
      <b/>
      <sz val="12"/>
      <color theme="1"/>
      <name val="Wingdings 2"/>
      <family val="1"/>
      <charset val="2"/>
    </font>
    <font>
      <b/>
      <sz val="18"/>
      <color theme="1"/>
      <name val="Bahnschrift"/>
      <family val="2"/>
    </font>
    <font>
      <b/>
      <sz val="12"/>
      <color theme="1"/>
      <name val="Arial Narrow"/>
      <family val="2"/>
    </font>
    <font>
      <sz val="12"/>
      <color theme="1"/>
      <name val="Arial Narrow"/>
      <family val="2"/>
    </font>
    <font>
      <sz val="12"/>
      <color theme="1"/>
      <name val="Berlin Sans FB"/>
      <family val="2"/>
    </font>
    <font>
      <b/>
      <sz val="16"/>
      <color theme="1"/>
      <name val="Bookman Old Style"/>
      <family val="1"/>
    </font>
    <font>
      <b/>
      <sz val="14"/>
      <color theme="1"/>
      <name val="Arial Black"/>
      <family val="2"/>
    </font>
    <font>
      <sz val="11"/>
      <color theme="1"/>
      <name val="Bookman Old Style"/>
      <family val="1"/>
    </font>
    <font>
      <b/>
      <sz val="11"/>
      <color theme="1"/>
      <name val="Bookman Old Style"/>
      <family val="1"/>
    </font>
    <font>
      <b/>
      <sz val="14"/>
      <color theme="1"/>
      <name val="Bookman Old Style"/>
      <family val="1"/>
    </font>
    <font>
      <b/>
      <sz val="14"/>
      <color theme="1"/>
      <name val="Bahnschrift"/>
      <family val="2"/>
    </font>
    <font>
      <sz val="12"/>
      <color theme="1"/>
      <name val="Arial"/>
      <family val="2"/>
    </font>
    <font>
      <sz val="14"/>
      <color theme="1"/>
      <name val="Arial Black"/>
      <family val="2"/>
    </font>
    <font>
      <b/>
      <sz val="20"/>
      <color theme="1"/>
      <name val="Arial"/>
      <family val="2"/>
    </font>
    <font>
      <sz val="10"/>
      <color theme="1"/>
      <name val="Arial"/>
      <family val="2"/>
    </font>
    <font>
      <b/>
      <sz val="12"/>
      <color theme="1"/>
      <name val="Arial"/>
      <family val="2"/>
    </font>
    <font>
      <sz val="11"/>
      <color theme="1"/>
      <name val="Bahnschrift SemiBold"/>
      <family val="2"/>
    </font>
    <font>
      <b/>
      <sz val="14"/>
      <color theme="1"/>
      <name val="Bahnschrift SemiBold"/>
      <family val="2"/>
    </font>
    <font>
      <sz val="9"/>
      <color indexed="81"/>
      <name val="Tahoma"/>
      <family val="2"/>
    </font>
  </fonts>
  <fills count="26">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indexed="64"/>
      </patternFill>
    </fill>
    <fill>
      <patternFill patternType="solid">
        <fgColor rgb="FFC00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8"/>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rgb="FF66FF99"/>
        <bgColor indexed="64"/>
      </patternFill>
    </fill>
    <fill>
      <patternFill patternType="solid">
        <fgColor rgb="FF9999FF"/>
        <bgColor indexed="64"/>
      </patternFill>
    </fill>
    <fill>
      <patternFill patternType="solid">
        <fgColor rgb="FFFFFF66"/>
        <bgColor indexed="64"/>
      </patternFill>
    </fill>
    <fill>
      <patternFill patternType="solid">
        <fgColor rgb="FFFFC000"/>
        <bgColor indexed="64"/>
      </patternFill>
    </fill>
    <fill>
      <patternFill patternType="solid">
        <fgColor theme="7"/>
        <bgColor indexed="64"/>
      </patternFill>
    </fill>
    <fill>
      <patternFill patternType="solid">
        <fgColor theme="6" tint="0.399975585192419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249977111117893"/>
        <bgColor indexed="64"/>
      </patternFill>
    </fill>
  </fills>
  <borders count="61">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ck">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bottom style="medium">
        <color indexed="64"/>
      </bottom>
      <diagonal/>
    </border>
    <border>
      <left style="thin">
        <color indexed="64"/>
      </left>
      <right style="thick">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s>
  <cellStyleXfs count="5">
    <xf numFmtId="0" fontId="0" fillId="0" borderId="0"/>
    <xf numFmtId="0" fontId="6" fillId="0" borderId="0"/>
    <xf numFmtId="0" fontId="7" fillId="0" borderId="0"/>
    <xf numFmtId="0" fontId="6" fillId="0" borderId="0"/>
    <xf numFmtId="0" fontId="1" fillId="0" borderId="0"/>
  </cellStyleXfs>
  <cellXfs count="451">
    <xf numFmtId="0" fontId="0" fillId="0" borderId="0" xfId="0"/>
    <xf numFmtId="0" fontId="0" fillId="6" borderId="0" xfId="0" applyFill="1"/>
    <xf numFmtId="0" fontId="0" fillId="8" borderId="0" xfId="0" applyFill="1"/>
    <xf numFmtId="0" fontId="3" fillId="8" borderId="0" xfId="0" applyFont="1" applyFill="1"/>
    <xf numFmtId="0" fontId="3" fillId="0" borderId="0" xfId="0" applyFont="1"/>
    <xf numFmtId="0" fontId="3" fillId="4" borderId="2" xfId="0" applyFont="1" applyFill="1" applyBorder="1"/>
    <xf numFmtId="0" fontId="3" fillId="4" borderId="3" xfId="0" applyFont="1" applyFill="1" applyBorder="1"/>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3" fillId="4" borderId="7" xfId="0" applyFont="1" applyFill="1" applyBorder="1"/>
    <xf numFmtId="0" fontId="3" fillId="4" borderId="0" xfId="0" applyFont="1" applyFill="1"/>
    <xf numFmtId="0" fontId="3" fillId="4" borderId="14" xfId="0" applyFont="1" applyFill="1" applyBorder="1"/>
    <xf numFmtId="0" fontId="3" fillId="4" borderId="15" xfId="0" applyFont="1" applyFill="1" applyBorder="1"/>
    <xf numFmtId="0" fontId="3" fillId="0" borderId="16" xfId="0" applyFont="1" applyBorder="1" applyAlignment="1">
      <alignment vertical="center"/>
    </xf>
    <xf numFmtId="0" fontId="3" fillId="3" borderId="0" xfId="0" applyFont="1" applyFill="1" applyAlignment="1">
      <alignment horizontal="center"/>
    </xf>
    <xf numFmtId="0" fontId="3" fillId="8" borderId="0" xfId="0" applyFont="1" applyFill="1" applyAlignment="1">
      <alignment horizontal="center"/>
    </xf>
    <xf numFmtId="0" fontId="3" fillId="0" borderId="0" xfId="0" applyFont="1" applyAlignment="1">
      <alignment horizontal="center"/>
    </xf>
    <xf numFmtId="0" fontId="6" fillId="10" borderId="0" xfId="1" applyFill="1"/>
    <xf numFmtId="0" fontId="6" fillId="5" borderId="0" xfId="1" applyFill="1"/>
    <xf numFmtId="0" fontId="6" fillId="0" borderId="0" xfId="1"/>
    <xf numFmtId="0" fontId="10" fillId="10" borderId="0" xfId="1" applyFont="1" applyFill="1" applyAlignment="1">
      <alignment vertical="center"/>
    </xf>
    <xf numFmtId="0" fontId="11" fillId="2" borderId="20" xfId="2" applyFont="1" applyFill="1" applyBorder="1" applyAlignment="1" applyProtection="1">
      <alignment horizontal="center" vertical="center"/>
      <protection hidden="1"/>
    </xf>
    <xf numFmtId="0" fontId="11" fillId="2" borderId="23" xfId="2" applyFont="1" applyFill="1" applyBorder="1" applyAlignment="1" applyProtection="1">
      <alignment horizontal="center" vertical="center"/>
      <protection hidden="1"/>
    </xf>
    <xf numFmtId="0" fontId="10" fillId="2" borderId="25" xfId="2" applyFont="1" applyFill="1" applyBorder="1" applyAlignment="1" applyProtection="1">
      <alignment horizontal="center" vertical="center"/>
      <protection locked="0"/>
    </xf>
    <xf numFmtId="0" fontId="10" fillId="0" borderId="25" xfId="1" quotePrefix="1" applyFont="1" applyBorder="1" applyAlignment="1" applyProtection="1">
      <alignment horizontal="center" vertical="center" wrapText="1"/>
      <protection locked="0"/>
    </xf>
    <xf numFmtId="49" fontId="10" fillId="0" borderId="25" xfId="1" quotePrefix="1" applyNumberFormat="1" applyFont="1" applyBorder="1" applyAlignment="1" applyProtection="1">
      <alignment horizontal="center" vertical="center"/>
      <protection locked="0"/>
    </xf>
    <xf numFmtId="0" fontId="10" fillId="0" borderId="20" xfId="3" applyFont="1" applyBorder="1" applyAlignment="1">
      <alignment horizontal="left" vertical="center"/>
    </xf>
    <xf numFmtId="0" fontId="10" fillId="0" borderId="25" xfId="1" applyFont="1" applyBorder="1" applyAlignment="1" applyProtection="1">
      <alignment horizontal="center" vertical="center" wrapText="1"/>
      <protection locked="0"/>
    </xf>
    <xf numFmtId="0" fontId="12" fillId="0" borderId="25" xfId="1" applyFont="1" applyBorder="1" applyAlignment="1" applyProtection="1">
      <alignment horizontal="left" vertical="center" wrapText="1"/>
      <protection locked="0"/>
    </xf>
    <xf numFmtId="164" fontId="10" fillId="0" borderId="25" xfId="1" applyNumberFormat="1" applyFont="1" applyBorder="1" applyAlignment="1" applyProtection="1">
      <alignment horizontal="left" vertical="center" wrapText="1"/>
      <protection locked="0"/>
    </xf>
    <xf numFmtId="0" fontId="10" fillId="0" borderId="25" xfId="1" applyFont="1" applyBorder="1" applyAlignment="1" applyProtection="1">
      <alignment horizontal="left" vertical="center"/>
      <protection locked="0"/>
    </xf>
    <xf numFmtId="0" fontId="12" fillId="0" borderId="26" xfId="1" applyFont="1" applyBorder="1" applyAlignment="1" applyProtection="1">
      <alignment horizontal="left" vertical="center" wrapText="1"/>
      <protection locked="0"/>
    </xf>
    <xf numFmtId="0" fontId="10" fillId="5" borderId="0" xfId="1" applyFont="1" applyFill="1" applyAlignment="1">
      <alignment vertical="center"/>
    </xf>
    <xf numFmtId="0" fontId="10" fillId="0" borderId="0" xfId="1" applyFont="1" applyAlignment="1">
      <alignment vertical="center"/>
    </xf>
    <xf numFmtId="0" fontId="12" fillId="2" borderId="20" xfId="2" applyFont="1" applyFill="1" applyBorder="1" applyAlignment="1" applyProtection="1">
      <alignment horizontal="center" vertical="center"/>
      <protection locked="0"/>
    </xf>
    <xf numFmtId="0" fontId="10" fillId="0" borderId="20" xfId="1" applyFont="1" applyBorder="1" applyAlignment="1" applyProtection="1">
      <alignment horizontal="center" vertical="center" wrapText="1"/>
      <protection locked="0"/>
    </xf>
    <xf numFmtId="49" fontId="10" fillId="0" borderId="20" xfId="1" quotePrefix="1" applyNumberFormat="1" applyFont="1" applyBorder="1" applyAlignment="1" applyProtection="1">
      <alignment horizontal="center" vertical="center"/>
      <protection locked="0"/>
    </xf>
    <xf numFmtId="0" fontId="12" fillId="0" borderId="20" xfId="1" applyFont="1" applyBorder="1" applyAlignment="1" applyProtection="1">
      <alignment horizontal="center" vertical="center" wrapText="1"/>
      <protection locked="0"/>
    </xf>
    <xf numFmtId="0" fontId="10" fillId="2" borderId="20" xfId="2" applyFont="1" applyFill="1" applyBorder="1" applyAlignment="1" applyProtection="1">
      <alignment horizontal="center" vertical="center"/>
      <protection locked="0"/>
    </xf>
    <xf numFmtId="0" fontId="13" fillId="0" borderId="20" xfId="1" applyFont="1" applyBorder="1" applyAlignment="1" applyProtection="1">
      <alignment horizontal="center" vertical="center" wrapText="1"/>
      <protection locked="0"/>
    </xf>
    <xf numFmtId="49" fontId="10" fillId="0" borderId="20" xfId="1" applyNumberFormat="1" applyFont="1" applyBorder="1" applyAlignment="1" applyProtection="1">
      <alignment horizontal="center" vertical="center"/>
      <protection locked="0"/>
    </xf>
    <xf numFmtId="0" fontId="10" fillId="0" borderId="20" xfId="3" applyFont="1" applyBorder="1" applyAlignment="1" applyProtection="1">
      <alignment horizontal="center" vertical="center"/>
      <protection locked="0"/>
    </xf>
    <xf numFmtId="0" fontId="10" fillId="0" borderId="20" xfId="1" quotePrefix="1" applyFont="1" applyBorder="1" applyAlignment="1" applyProtection="1">
      <alignment horizontal="center" vertical="center"/>
      <protection locked="0"/>
    </xf>
    <xf numFmtId="0" fontId="12" fillId="0" borderId="20" xfId="1" applyFont="1" applyBorder="1" applyAlignment="1" applyProtection="1">
      <alignment horizontal="center" vertical="center"/>
      <protection locked="0"/>
    </xf>
    <xf numFmtId="0" fontId="10" fillId="0" borderId="20" xfId="1" quotePrefix="1" applyFont="1" applyBorder="1" applyAlignment="1" applyProtection="1">
      <alignment horizontal="center" vertical="center" wrapText="1"/>
      <protection locked="0"/>
    </xf>
    <xf numFmtId="1" fontId="10" fillId="0" borderId="20" xfId="4" applyNumberFormat="1" applyFont="1" applyBorder="1" applyAlignment="1" applyProtection="1">
      <alignment horizontal="center" vertical="center"/>
      <protection locked="0"/>
    </xf>
    <xf numFmtId="0" fontId="14" fillId="0" borderId="20" xfId="1" quotePrefix="1" applyFont="1" applyBorder="1" applyAlignment="1" applyProtection="1">
      <alignment horizontal="center" vertical="center" wrapText="1"/>
      <protection locked="0"/>
    </xf>
    <xf numFmtId="0" fontId="10" fillId="0" borderId="25" xfId="2" applyFont="1" applyBorder="1" applyAlignment="1" applyProtection="1">
      <alignment horizontal="center" vertical="center"/>
      <protection locked="0"/>
    </xf>
    <xf numFmtId="0" fontId="0" fillId="0" borderId="0" xfId="0" applyAlignment="1">
      <alignment wrapText="1"/>
    </xf>
    <xf numFmtId="0" fontId="0" fillId="0" borderId="0" xfId="0" applyAlignment="1">
      <alignment vertical="center" wrapText="1"/>
    </xf>
    <xf numFmtId="0" fontId="2" fillId="0" borderId="0" xfId="0" applyFont="1" applyAlignment="1">
      <alignment horizontal="center" vertical="center" wrapText="1"/>
    </xf>
    <xf numFmtId="0" fontId="2" fillId="0" borderId="0" xfId="0" applyFont="1" applyAlignment="1">
      <alignment wrapText="1"/>
    </xf>
    <xf numFmtId="0" fontId="0" fillId="0" borderId="0" xfId="0" applyAlignment="1">
      <alignment vertical="top"/>
    </xf>
    <xf numFmtId="0" fontId="0" fillId="0" borderId="0" xfId="0" applyAlignment="1">
      <alignment horizontal="left" vertical="center"/>
    </xf>
    <xf numFmtId="0" fontId="0" fillId="0" borderId="0" xfId="0" applyAlignment="1">
      <alignment horizontal="left" vertical="top"/>
    </xf>
    <xf numFmtId="0" fontId="15" fillId="0" borderId="0" xfId="0" applyFont="1"/>
    <xf numFmtId="0" fontId="3" fillId="13" borderId="0" xfId="0" applyFont="1" applyFill="1"/>
    <xf numFmtId="0" fontId="3" fillId="5" borderId="0" xfId="0" applyFont="1" applyFill="1"/>
    <xf numFmtId="0" fontId="3" fillId="2" borderId="0" xfId="0" applyFont="1" applyFill="1"/>
    <xf numFmtId="0" fontId="5" fillId="13" borderId="0" xfId="0" applyFont="1" applyFill="1"/>
    <xf numFmtId="0" fontId="5" fillId="5" borderId="0" xfId="0" applyFont="1" applyFill="1"/>
    <xf numFmtId="0" fontId="5" fillId="0" borderId="0" xfId="0" applyFont="1"/>
    <xf numFmtId="0" fontId="16" fillId="14" borderId="23" xfId="0" applyFont="1" applyFill="1" applyBorder="1"/>
    <xf numFmtId="0" fontId="16" fillId="14" borderId="22" xfId="0" applyFont="1" applyFill="1" applyBorder="1"/>
    <xf numFmtId="0" fontId="16" fillId="5" borderId="0" xfId="0" applyFont="1" applyFill="1"/>
    <xf numFmtId="0" fontId="16" fillId="8" borderId="20" xfId="0" applyFont="1" applyFill="1" applyBorder="1" applyAlignment="1">
      <alignment horizontal="center" vertical="center"/>
    </xf>
    <xf numFmtId="0" fontId="16" fillId="14" borderId="26" xfId="0" applyFont="1" applyFill="1" applyBorder="1"/>
    <xf numFmtId="0" fontId="16" fillId="14" borderId="1" xfId="0" applyFont="1" applyFill="1" applyBorder="1"/>
    <xf numFmtId="0" fontId="17" fillId="5" borderId="0" xfId="0" applyFont="1" applyFill="1" applyAlignment="1">
      <alignment vertical="top" wrapText="1"/>
    </xf>
    <xf numFmtId="0" fontId="17" fillId="5" borderId="0" xfId="0" applyFont="1" applyFill="1"/>
    <xf numFmtId="0" fontId="16" fillId="5" borderId="0" xfId="0" applyFont="1" applyFill="1" applyAlignment="1">
      <alignment vertical="top" wrapText="1"/>
    </xf>
    <xf numFmtId="0" fontId="16" fillId="5" borderId="0" xfId="0" applyFont="1" applyFill="1" applyAlignment="1">
      <alignment horizontal="center" vertical="center"/>
    </xf>
    <xf numFmtId="0" fontId="16" fillId="5" borderId="0" xfId="0" applyFont="1" applyFill="1" applyAlignment="1">
      <alignment horizontal="center" vertical="center" wrapText="1"/>
    </xf>
    <xf numFmtId="0" fontId="16" fillId="8" borderId="25" xfId="0" applyFont="1" applyFill="1" applyBorder="1" applyAlignment="1">
      <alignment horizontal="center" vertical="center"/>
    </xf>
    <xf numFmtId="0" fontId="16" fillId="5" borderId="15" xfId="0" applyFont="1" applyFill="1" applyBorder="1"/>
    <xf numFmtId="0" fontId="16" fillId="5" borderId="15" xfId="0" applyFont="1" applyFill="1" applyBorder="1" applyAlignment="1">
      <alignment horizontal="left" vertical="top" wrapText="1"/>
    </xf>
    <xf numFmtId="0" fontId="16" fillId="5" borderId="15" xfId="0" applyFont="1" applyFill="1" applyBorder="1" applyAlignment="1">
      <alignment horizontal="center" vertical="center"/>
    </xf>
    <xf numFmtId="0" fontId="5" fillId="8" borderId="0" xfId="0" applyFont="1" applyFill="1"/>
    <xf numFmtId="0" fontId="0" fillId="0" borderId="20" xfId="0" applyBorder="1"/>
    <xf numFmtId="0" fontId="0" fillId="0" borderId="22" xfId="0" applyBorder="1"/>
    <xf numFmtId="0" fontId="0" fillId="0" borderId="31" xfId="0" applyBorder="1"/>
    <xf numFmtId="0" fontId="0" fillId="0" borderId="33" xfId="0" applyBorder="1"/>
    <xf numFmtId="0" fontId="0" fillId="0" borderId="25" xfId="0" applyBorder="1"/>
    <xf numFmtId="0" fontId="0" fillId="0" borderId="32" xfId="0" applyBorder="1"/>
    <xf numFmtId="0" fontId="16" fillId="5" borderId="37" xfId="0" applyFont="1" applyFill="1" applyBorder="1" applyAlignment="1">
      <alignment horizontal="center" vertical="center"/>
    </xf>
    <xf numFmtId="0" fontId="16" fillId="5" borderId="38" xfId="0" applyFont="1" applyFill="1" applyBorder="1" applyAlignment="1">
      <alignment horizontal="center" vertical="center"/>
    </xf>
    <xf numFmtId="0" fontId="16" fillId="5" borderId="39" xfId="0" applyFont="1" applyFill="1" applyBorder="1" applyAlignment="1">
      <alignment horizontal="center" vertical="center"/>
    </xf>
    <xf numFmtId="0" fontId="16" fillId="15" borderId="43" xfId="0" applyFont="1" applyFill="1" applyBorder="1" applyAlignment="1">
      <alignment horizontal="center" vertical="center"/>
    </xf>
    <xf numFmtId="0" fontId="16" fillId="15" borderId="38" xfId="0" applyFont="1" applyFill="1" applyBorder="1" applyAlignment="1">
      <alignment horizontal="center" vertical="center"/>
    </xf>
    <xf numFmtId="0" fontId="16" fillId="15" borderId="35" xfId="0" applyFont="1" applyFill="1" applyBorder="1" applyAlignment="1">
      <alignment horizontal="center" vertical="center"/>
    </xf>
    <xf numFmtId="0" fontId="16" fillId="16" borderId="37" xfId="0" applyFont="1" applyFill="1" applyBorder="1" applyAlignment="1">
      <alignment horizontal="center" vertical="center"/>
    </xf>
    <xf numFmtId="0" fontId="16" fillId="16" borderId="38" xfId="0" applyFont="1" applyFill="1" applyBorder="1" applyAlignment="1">
      <alignment horizontal="center" vertical="center"/>
    </xf>
    <xf numFmtId="0" fontId="16" fillId="16" borderId="35" xfId="0" applyFont="1" applyFill="1" applyBorder="1" applyAlignment="1">
      <alignment horizontal="center" vertical="center"/>
    </xf>
    <xf numFmtId="0" fontId="16" fillId="9" borderId="37" xfId="0" applyFont="1" applyFill="1" applyBorder="1" applyAlignment="1">
      <alignment horizontal="center" vertical="center"/>
    </xf>
    <xf numFmtId="0" fontId="16" fillId="9" borderId="38" xfId="0" applyFont="1" applyFill="1" applyBorder="1" applyAlignment="1">
      <alignment horizontal="center" vertical="center"/>
    </xf>
    <xf numFmtId="0" fontId="16" fillId="9" borderId="35" xfId="0" applyFont="1" applyFill="1" applyBorder="1" applyAlignment="1">
      <alignment horizontal="center" vertical="center"/>
    </xf>
    <xf numFmtId="0" fontId="16" fillId="17" borderId="37" xfId="0" applyFont="1" applyFill="1" applyBorder="1" applyAlignment="1">
      <alignment horizontal="center" vertical="center"/>
    </xf>
    <xf numFmtId="0" fontId="16" fillId="17" borderId="38" xfId="0" applyFont="1" applyFill="1" applyBorder="1" applyAlignment="1">
      <alignment horizontal="center" vertical="center"/>
    </xf>
    <xf numFmtId="0" fontId="16" fillId="17" borderId="35" xfId="0" applyFont="1" applyFill="1" applyBorder="1" applyAlignment="1">
      <alignment horizontal="center" vertical="center"/>
    </xf>
    <xf numFmtId="0" fontId="16" fillId="18" borderId="37" xfId="0" applyFont="1" applyFill="1" applyBorder="1" applyAlignment="1">
      <alignment horizontal="center" vertical="center"/>
    </xf>
    <xf numFmtId="0" fontId="16" fillId="18" borderId="38" xfId="0" applyFont="1" applyFill="1" applyBorder="1" applyAlignment="1">
      <alignment horizontal="center" vertical="center"/>
    </xf>
    <xf numFmtId="0" fontId="16" fillId="18" borderId="35" xfId="0" applyFont="1" applyFill="1" applyBorder="1" applyAlignment="1">
      <alignment horizontal="center" vertical="center"/>
    </xf>
    <xf numFmtId="0" fontId="16" fillId="19" borderId="37" xfId="0" applyFont="1" applyFill="1" applyBorder="1" applyAlignment="1">
      <alignment horizontal="center" vertical="center"/>
    </xf>
    <xf numFmtId="0" fontId="16" fillId="19" borderId="38" xfId="0" applyFont="1" applyFill="1" applyBorder="1" applyAlignment="1">
      <alignment horizontal="center" vertical="center"/>
    </xf>
    <xf numFmtId="0" fontId="16" fillId="19" borderId="12" xfId="0" applyFont="1" applyFill="1" applyBorder="1" applyAlignment="1">
      <alignment horizontal="center" vertical="center"/>
    </xf>
    <xf numFmtId="0" fontId="0" fillId="5" borderId="0" xfId="0" applyFill="1"/>
    <xf numFmtId="0" fontId="0" fillId="2" borderId="0" xfId="0" applyFill="1"/>
    <xf numFmtId="0" fontId="20" fillId="5" borderId="0" xfId="0" applyFont="1" applyFill="1"/>
    <xf numFmtId="0" fontId="0" fillId="5" borderId="0" xfId="0" applyFill="1" applyAlignment="1">
      <alignment horizontal="left" indent="1"/>
    </xf>
    <xf numFmtId="0" fontId="16" fillId="10" borderId="25" xfId="0" applyFont="1" applyFill="1" applyBorder="1" applyAlignment="1">
      <alignment horizontal="center" vertical="center"/>
    </xf>
    <xf numFmtId="0" fontId="16" fillId="0" borderId="32" xfId="0" quotePrefix="1" applyFont="1" applyBorder="1" applyAlignment="1">
      <alignment horizontal="left" vertical="center" indent="1"/>
    </xf>
    <xf numFmtId="0" fontId="16" fillId="10" borderId="20" xfId="0" applyFont="1" applyFill="1" applyBorder="1" applyAlignment="1">
      <alignment horizontal="center" vertical="center"/>
    </xf>
    <xf numFmtId="0" fontId="16" fillId="0" borderId="31" xfId="0" quotePrefix="1" applyFont="1" applyBorder="1" applyAlignment="1">
      <alignment horizontal="left" vertical="center" indent="1"/>
    </xf>
    <xf numFmtId="0" fontId="22" fillId="5" borderId="0" xfId="0" applyFont="1" applyFill="1"/>
    <xf numFmtId="0" fontId="0" fillId="20" borderId="22" xfId="0" applyFill="1" applyBorder="1"/>
    <xf numFmtId="0" fontId="22" fillId="21" borderId="2" xfId="0" applyFont="1" applyFill="1" applyBorder="1"/>
    <xf numFmtId="0" fontId="0" fillId="21" borderId="3" xfId="0" applyFill="1" applyBorder="1"/>
    <xf numFmtId="0" fontId="0" fillId="21" borderId="28" xfId="0" applyFill="1" applyBorder="1"/>
    <xf numFmtId="0" fontId="16" fillId="21" borderId="7" xfId="0" applyFont="1" applyFill="1" applyBorder="1"/>
    <xf numFmtId="0" fontId="16" fillId="21" borderId="0" xfId="0" applyFont="1" applyFill="1"/>
    <xf numFmtId="0" fontId="0" fillId="21" borderId="0" xfId="0" applyFill="1"/>
    <xf numFmtId="0" fontId="0" fillId="21" borderId="29" xfId="0" applyFill="1" applyBorder="1"/>
    <xf numFmtId="0" fontId="16" fillId="21" borderId="14" xfId="0" applyFont="1" applyFill="1" applyBorder="1"/>
    <xf numFmtId="0" fontId="16" fillId="21" borderId="15" xfId="0" applyFont="1" applyFill="1" applyBorder="1"/>
    <xf numFmtId="0" fontId="0" fillId="21" borderId="15" xfId="0" applyFill="1" applyBorder="1"/>
    <xf numFmtId="0" fontId="0" fillId="21" borderId="30" xfId="0" applyFill="1" applyBorder="1"/>
    <xf numFmtId="0" fontId="16" fillId="21" borderId="46" xfId="0" applyFont="1" applyFill="1" applyBorder="1"/>
    <xf numFmtId="0" fontId="0" fillId="21" borderId="46" xfId="0" applyFill="1" applyBorder="1"/>
    <xf numFmtId="0" fontId="16" fillId="21" borderId="47" xfId="0" applyFont="1" applyFill="1" applyBorder="1"/>
    <xf numFmtId="0" fontId="0" fillId="21" borderId="48" xfId="0" applyFill="1" applyBorder="1"/>
    <xf numFmtId="0" fontId="16" fillId="20" borderId="49" xfId="0" applyFont="1" applyFill="1" applyBorder="1"/>
    <xf numFmtId="0" fontId="0" fillId="20" borderId="34" xfId="0" applyFill="1" applyBorder="1"/>
    <xf numFmtId="0" fontId="16" fillId="0" borderId="6" xfId="0" applyFont="1" applyBorder="1" applyAlignment="1">
      <alignment horizontal="left" wrapText="1" indent="1"/>
    </xf>
    <xf numFmtId="0" fontId="16" fillId="20" borderId="47" xfId="0" applyFont="1" applyFill="1" applyBorder="1"/>
    <xf numFmtId="0" fontId="16" fillId="0" borderId="24" xfId="0" applyFont="1" applyBorder="1" applyAlignment="1">
      <alignment horizontal="left" indent="1"/>
    </xf>
    <xf numFmtId="0" fontId="16" fillId="20" borderId="50" xfId="0" applyFont="1" applyFill="1" applyBorder="1"/>
    <xf numFmtId="0" fontId="0" fillId="20" borderId="36" xfId="0" applyFill="1" applyBorder="1"/>
    <xf numFmtId="0" fontId="16" fillId="0" borderId="27" xfId="0" applyFont="1" applyBorder="1" applyAlignment="1">
      <alignment horizontal="left" vertical="center" indent="1"/>
    </xf>
    <xf numFmtId="0" fontId="20" fillId="0" borderId="15" xfId="0" applyFont="1" applyBorder="1"/>
    <xf numFmtId="0" fontId="20" fillId="21" borderId="15" xfId="0" applyFont="1" applyFill="1" applyBorder="1"/>
    <xf numFmtId="0" fontId="20" fillId="21" borderId="30" xfId="0" applyFont="1" applyFill="1" applyBorder="1"/>
    <xf numFmtId="0" fontId="0" fillId="4" borderId="2" xfId="0" applyFill="1" applyBorder="1"/>
    <xf numFmtId="0" fontId="0" fillId="4" borderId="3" xfId="0" applyFill="1" applyBorder="1"/>
    <xf numFmtId="0" fontId="0" fillId="4" borderId="28" xfId="0" applyFill="1" applyBorder="1"/>
    <xf numFmtId="0" fontId="0" fillId="4" borderId="7" xfId="0" applyFill="1" applyBorder="1"/>
    <xf numFmtId="0" fontId="0" fillId="4" borderId="0" xfId="0" applyFill="1"/>
    <xf numFmtId="0" fontId="0" fillId="4" borderId="29" xfId="0" applyFill="1" applyBorder="1"/>
    <xf numFmtId="0" fontId="0" fillId="4" borderId="14" xfId="0" applyFill="1" applyBorder="1"/>
    <xf numFmtId="0" fontId="0" fillId="4" borderId="15" xfId="0" applyFill="1" applyBorder="1"/>
    <xf numFmtId="0" fontId="24" fillId="4" borderId="15" xfId="0" applyFont="1" applyFill="1" applyBorder="1"/>
    <xf numFmtId="0" fontId="0" fillId="4" borderId="30" xfId="0" applyFill="1" applyBorder="1"/>
    <xf numFmtId="0" fontId="0" fillId="6" borderId="2" xfId="0" applyFill="1" applyBorder="1"/>
    <xf numFmtId="0" fontId="0" fillId="6" borderId="3" xfId="0" applyFill="1" applyBorder="1"/>
    <xf numFmtId="0" fontId="0" fillId="6" borderId="28" xfId="0" applyFill="1" applyBorder="1"/>
    <xf numFmtId="0" fontId="0" fillId="6" borderId="7" xfId="0" applyFill="1" applyBorder="1"/>
    <xf numFmtId="0" fontId="0" fillId="6" borderId="29" xfId="0" applyFill="1" applyBorder="1"/>
    <xf numFmtId="0" fontId="0" fillId="6" borderId="14" xfId="0" applyFill="1" applyBorder="1"/>
    <xf numFmtId="0" fontId="0" fillId="6" borderId="15" xfId="0" applyFill="1" applyBorder="1"/>
    <xf numFmtId="0" fontId="0" fillId="6" borderId="30" xfId="0" applyFill="1" applyBorder="1"/>
    <xf numFmtId="0" fontId="3" fillId="3" borderId="3" xfId="0" applyFont="1" applyFill="1" applyBorder="1"/>
    <xf numFmtId="0" fontId="3" fillId="3" borderId="3" xfId="0" applyFont="1" applyFill="1" applyBorder="1" applyAlignment="1">
      <alignment horizontal="center"/>
    </xf>
    <xf numFmtId="0" fontId="3" fillId="3" borderId="28" xfId="0" applyFont="1" applyFill="1" applyBorder="1"/>
    <xf numFmtId="0" fontId="3" fillId="3" borderId="0" xfId="0" applyFont="1" applyFill="1"/>
    <xf numFmtId="0" fontId="3" fillId="3" borderId="29" xfId="0" applyFont="1" applyFill="1" applyBorder="1"/>
    <xf numFmtId="0" fontId="3" fillId="3" borderId="0" xfId="0" applyFont="1" applyFill="1" applyAlignment="1">
      <alignment horizontal="left" vertical="center"/>
    </xf>
    <xf numFmtId="0" fontId="3" fillId="3" borderId="0" xfId="0" applyFont="1" applyFill="1" applyAlignment="1">
      <alignment horizontal="left" indent="1"/>
    </xf>
    <xf numFmtId="0" fontId="3" fillId="3" borderId="15" xfId="0" applyFont="1" applyFill="1" applyBorder="1"/>
    <xf numFmtId="0" fontId="3" fillId="3" borderId="15" xfId="0" applyFont="1" applyFill="1" applyBorder="1" applyAlignment="1">
      <alignment horizontal="center"/>
    </xf>
    <xf numFmtId="0" fontId="3" fillId="3" borderId="30" xfId="0" applyFont="1" applyFill="1" applyBorder="1"/>
    <xf numFmtId="0" fontId="0" fillId="23" borderId="0" xfId="0" applyFill="1"/>
    <xf numFmtId="0" fontId="0" fillId="24" borderId="0" xfId="0" applyFill="1"/>
    <xf numFmtId="0" fontId="2" fillId="24" borderId="0" xfId="0" applyFont="1" applyFill="1" applyAlignment="1">
      <alignment vertical="center"/>
    </xf>
    <xf numFmtId="0" fontId="16" fillId="24" borderId="0" xfId="0" applyFont="1" applyFill="1"/>
    <xf numFmtId="0" fontId="27" fillId="24" borderId="0" xfId="0" applyFont="1" applyFill="1"/>
    <xf numFmtId="0" fontId="27" fillId="24" borderId="0" xfId="0" applyFont="1" applyFill="1" applyAlignment="1">
      <alignment vertical="center"/>
    </xf>
    <xf numFmtId="0" fontId="28" fillId="24" borderId="0" xfId="0" applyFont="1" applyFill="1"/>
    <xf numFmtId="0" fontId="0" fillId="25" borderId="0" xfId="0" applyFill="1"/>
    <xf numFmtId="0" fontId="27" fillId="24" borderId="0" xfId="0" applyFont="1" applyFill="1" applyAlignment="1">
      <alignment vertical="center" wrapText="1"/>
    </xf>
    <xf numFmtId="0" fontId="3" fillId="24" borderId="0" xfId="0" applyFont="1" applyFill="1" applyAlignment="1">
      <alignment horizontal="left" indent="1"/>
    </xf>
    <xf numFmtId="0" fontId="0" fillId="24" borderId="52" xfId="0" applyFill="1" applyBorder="1"/>
    <xf numFmtId="0" fontId="31" fillId="2" borderId="20" xfId="0" applyFont="1" applyFill="1" applyBorder="1" applyAlignment="1">
      <alignment horizontal="center" vertical="center"/>
    </xf>
    <xf numFmtId="0" fontId="0" fillId="0" borderId="0" xfId="0" applyAlignment="1">
      <alignment vertical="center"/>
    </xf>
    <xf numFmtId="0" fontId="17" fillId="21" borderId="9" xfId="0" applyFont="1" applyFill="1" applyBorder="1"/>
    <xf numFmtId="0" fontId="17" fillId="21" borderId="13" xfId="0" applyFont="1" applyFill="1" applyBorder="1"/>
    <xf numFmtId="0" fontId="0" fillId="0" borderId="0" xfId="0" applyAlignment="1">
      <alignment horizontal="center" vertical="center"/>
    </xf>
    <xf numFmtId="0" fontId="16" fillId="5" borderId="41" xfId="0" applyFont="1" applyFill="1" applyBorder="1" applyAlignment="1">
      <alignment horizontal="center" vertical="center"/>
    </xf>
    <xf numFmtId="0" fontId="0" fillId="0" borderId="33" xfId="0" applyBorder="1" applyAlignment="1">
      <alignment horizontal="center" vertical="center"/>
    </xf>
    <xf numFmtId="0" fontId="0" fillId="0" borderId="25" xfId="0" applyBorder="1" applyAlignment="1">
      <alignment horizontal="center" vertical="center"/>
    </xf>
    <xf numFmtId="0" fontId="0" fillId="0" borderId="32" xfId="0" applyBorder="1" applyAlignment="1">
      <alignment horizontal="center" vertical="center"/>
    </xf>
    <xf numFmtId="0" fontId="0" fillId="0" borderId="22" xfId="0" applyBorder="1" applyAlignment="1">
      <alignment horizontal="center" vertical="center"/>
    </xf>
    <xf numFmtId="0" fontId="0" fillId="0" borderId="20" xfId="0" applyBorder="1" applyAlignment="1">
      <alignment horizontal="center" vertical="center"/>
    </xf>
    <xf numFmtId="0" fontId="0" fillId="0" borderId="31" xfId="0" applyBorder="1" applyAlignment="1">
      <alignment horizontal="center" vertical="center"/>
    </xf>
    <xf numFmtId="165" fontId="16" fillId="0" borderId="32" xfId="0" quotePrefix="1" applyNumberFormat="1" applyFont="1" applyBorder="1" applyAlignment="1">
      <alignment horizontal="left" vertical="center" indent="1"/>
    </xf>
    <xf numFmtId="165" fontId="16" fillId="0" borderId="31" xfId="0" quotePrefix="1" applyNumberFormat="1" applyFont="1" applyBorder="1" applyAlignment="1">
      <alignment horizontal="left" vertical="center" indent="1"/>
    </xf>
    <xf numFmtId="0" fontId="30" fillId="8" borderId="0" xfId="0" applyFont="1" applyFill="1"/>
    <xf numFmtId="0" fontId="0" fillId="8" borderId="0" xfId="0" applyFill="1" applyAlignment="1">
      <alignment vertical="center"/>
    </xf>
    <xf numFmtId="0" fontId="3" fillId="8" borderId="0" xfId="0" applyFont="1" applyFill="1" applyAlignment="1">
      <alignment vertical="center"/>
    </xf>
    <xf numFmtId="0" fontId="0" fillId="8" borderId="0" xfId="0" applyFill="1" applyAlignment="1">
      <alignment vertical="top"/>
    </xf>
    <xf numFmtId="0" fontId="0" fillId="8" borderId="1" xfId="0" applyFill="1" applyBorder="1" applyAlignment="1">
      <alignment horizontal="left" vertical="top" wrapText="1"/>
    </xf>
    <xf numFmtId="0" fontId="0" fillId="8" borderId="33" xfId="0" applyFill="1" applyBorder="1" applyAlignment="1">
      <alignment horizontal="left" vertical="top" wrapText="1"/>
    </xf>
    <xf numFmtId="0" fontId="3" fillId="0" borderId="8" xfId="0" applyFont="1" applyBorder="1" applyAlignment="1">
      <alignment horizontal="left" vertical="top"/>
    </xf>
    <xf numFmtId="0" fontId="3" fillId="0" borderId="4" xfId="0" applyFont="1" applyBorder="1" applyAlignment="1">
      <alignment horizontal="left" vertical="top"/>
    </xf>
    <xf numFmtId="0" fontId="16" fillId="0" borderId="20" xfId="0" applyFont="1" applyBorder="1" applyAlignment="1">
      <alignment horizontal="center" vertical="center"/>
    </xf>
    <xf numFmtId="0" fontId="16" fillId="0" borderId="20" xfId="0" applyFont="1" applyBorder="1" applyAlignment="1">
      <alignment horizontal="left" vertical="center"/>
    </xf>
    <xf numFmtId="0" fontId="16" fillId="0" borderId="20" xfId="0" applyFont="1" applyBorder="1" applyAlignment="1">
      <alignment horizontal="left" vertical="top" wrapText="1"/>
    </xf>
    <xf numFmtId="0" fontId="17" fillId="12" borderId="20" xfId="0" applyFont="1" applyFill="1" applyBorder="1" applyAlignment="1">
      <alignment horizontal="center" vertical="center"/>
    </xf>
    <xf numFmtId="0" fontId="17" fillId="14" borderId="20" xfId="0" applyFont="1" applyFill="1" applyBorder="1" applyAlignment="1">
      <alignment horizontal="center" vertical="center" wrapText="1"/>
    </xf>
    <xf numFmtId="0" fontId="16" fillId="14" borderId="55" xfId="0" applyFont="1" applyFill="1" applyBorder="1"/>
    <xf numFmtId="0" fontId="16" fillId="14" borderId="54" xfId="0" applyFont="1" applyFill="1" applyBorder="1"/>
    <xf numFmtId="0" fontId="16" fillId="14" borderId="56" xfId="0" applyFont="1" applyFill="1" applyBorder="1"/>
    <xf numFmtId="0" fontId="16" fillId="14" borderId="57" xfId="0" applyFont="1" applyFill="1" applyBorder="1"/>
    <xf numFmtId="0" fontId="16" fillId="14" borderId="0" xfId="0" applyFont="1" applyFill="1"/>
    <xf numFmtId="0" fontId="16" fillId="14" borderId="58" xfId="0" applyFont="1" applyFill="1" applyBorder="1"/>
    <xf numFmtId="0" fontId="16" fillId="14" borderId="33" xfId="0" applyFont="1" applyFill="1" applyBorder="1"/>
    <xf numFmtId="0" fontId="34" fillId="8" borderId="0" xfId="0" applyFont="1" applyFill="1" applyAlignment="1">
      <alignment vertical="center"/>
    </xf>
    <xf numFmtId="0" fontId="3" fillId="2" borderId="0" xfId="0" applyFont="1" applyFill="1" applyAlignment="1">
      <alignment horizontal="center"/>
    </xf>
    <xf numFmtId="0" fontId="3" fillId="2" borderId="0" xfId="0" applyFont="1" applyFill="1" applyAlignment="1">
      <alignment horizontal="center" vertical="center"/>
    </xf>
    <xf numFmtId="0" fontId="3" fillId="8" borderId="1" xfId="0" applyFont="1" applyFill="1" applyBorder="1"/>
    <xf numFmtId="0" fontId="0" fillId="25" borderId="0" xfId="0" applyFill="1" applyAlignment="1">
      <alignment vertical="center"/>
    </xf>
    <xf numFmtId="0" fontId="0" fillId="4" borderId="0" xfId="0" applyFill="1" applyAlignment="1">
      <alignment vertical="center"/>
    </xf>
    <xf numFmtId="0" fontId="0" fillId="8" borderId="54" xfId="0" applyFill="1" applyBorder="1" applyAlignment="1">
      <alignment horizontal="left" vertical="top" wrapText="1"/>
    </xf>
    <xf numFmtId="0" fontId="0" fillId="8" borderId="0" xfId="0" applyFill="1" applyAlignment="1">
      <alignment horizontal="left" vertical="top" wrapText="1"/>
    </xf>
    <xf numFmtId="166" fontId="3" fillId="8" borderId="0" xfId="0" applyNumberFormat="1" applyFont="1" applyFill="1" applyAlignment="1">
      <alignment horizontal="left" vertical="center"/>
    </xf>
    <xf numFmtId="0" fontId="2" fillId="10" borderId="20" xfId="0" applyFont="1" applyFill="1" applyBorder="1" applyAlignment="1">
      <alignment horizontal="center" vertical="center"/>
    </xf>
    <xf numFmtId="0" fontId="0" fillId="6" borderId="0" xfId="0" applyFill="1" applyAlignment="1">
      <alignment vertical="center"/>
    </xf>
    <xf numFmtId="0" fontId="0" fillId="5" borderId="0" xfId="0" applyFill="1" applyAlignment="1">
      <alignment vertical="center"/>
    </xf>
    <xf numFmtId="0" fontId="36" fillId="5" borderId="0" xfId="0" applyFont="1" applyFill="1" applyAlignment="1">
      <alignment vertical="center"/>
    </xf>
    <xf numFmtId="0" fontId="36" fillId="5" borderId="0" xfId="0" applyFont="1" applyFill="1"/>
    <xf numFmtId="0" fontId="2" fillId="2" borderId="20" xfId="0" applyFont="1" applyFill="1" applyBorder="1" applyAlignment="1">
      <alignment horizontal="center" vertical="center"/>
    </xf>
    <xf numFmtId="0" fontId="16" fillId="8" borderId="0" xfId="0" applyFont="1" applyFill="1" applyAlignment="1">
      <alignment horizontal="left" vertical="top" wrapText="1"/>
    </xf>
    <xf numFmtId="0" fontId="25" fillId="2" borderId="2" xfId="0" applyFont="1" applyFill="1" applyBorder="1" applyAlignment="1">
      <alignment horizontal="center" vertical="center"/>
    </xf>
    <xf numFmtId="0" fontId="25" fillId="2" borderId="3" xfId="0" applyFont="1" applyFill="1" applyBorder="1" applyAlignment="1">
      <alignment horizontal="center" vertical="center"/>
    </xf>
    <xf numFmtId="0" fontId="25" fillId="2" borderId="28" xfId="0" applyFont="1" applyFill="1" applyBorder="1" applyAlignment="1">
      <alignment horizontal="center" vertical="center"/>
    </xf>
    <xf numFmtId="0" fontId="25" fillId="2" borderId="14" xfId="0" applyFont="1" applyFill="1" applyBorder="1" applyAlignment="1">
      <alignment horizontal="center" vertical="center"/>
    </xf>
    <xf numFmtId="0" fontId="25" fillId="2" borderId="15" xfId="0" applyFont="1" applyFill="1" applyBorder="1" applyAlignment="1">
      <alignment horizontal="center" vertical="center"/>
    </xf>
    <xf numFmtId="0" fontId="25" fillId="2" borderId="30" xfId="0" applyFont="1" applyFill="1" applyBorder="1" applyAlignment="1">
      <alignment horizontal="center" vertical="center"/>
    </xf>
    <xf numFmtId="0" fontId="23" fillId="22" borderId="2" xfId="0" applyFont="1" applyFill="1" applyBorder="1" applyAlignment="1">
      <alignment horizontal="left" vertical="center" wrapText="1" indent="1"/>
    </xf>
    <xf numFmtId="0" fontId="23" fillId="22" borderId="3" xfId="0" applyFont="1" applyFill="1" applyBorder="1" applyAlignment="1">
      <alignment horizontal="left" vertical="center" wrapText="1" indent="1"/>
    </xf>
    <xf numFmtId="0" fontId="23" fillId="22" borderId="28" xfId="0" applyFont="1" applyFill="1" applyBorder="1" applyAlignment="1">
      <alignment horizontal="left" vertical="center" wrapText="1" indent="1"/>
    </xf>
    <xf numFmtId="0" fontId="23" fillId="22" borderId="7" xfId="0" applyFont="1" applyFill="1" applyBorder="1" applyAlignment="1">
      <alignment horizontal="left" vertical="center" wrapText="1" indent="1"/>
    </xf>
    <xf numFmtId="0" fontId="23" fillId="22" borderId="0" xfId="0" applyFont="1" applyFill="1" applyAlignment="1">
      <alignment horizontal="left" vertical="center" wrapText="1" indent="1"/>
    </xf>
    <xf numFmtId="0" fontId="23" fillId="22" borderId="29" xfId="0" applyFont="1" applyFill="1" applyBorder="1" applyAlignment="1">
      <alignment horizontal="left" vertical="center" wrapText="1" indent="1"/>
    </xf>
    <xf numFmtId="0" fontId="23" fillId="22" borderId="14" xfId="0" applyFont="1" applyFill="1" applyBorder="1" applyAlignment="1">
      <alignment horizontal="left" vertical="center" wrapText="1" indent="1"/>
    </xf>
    <xf numFmtId="0" fontId="23" fillId="22" borderId="15" xfId="0" applyFont="1" applyFill="1" applyBorder="1" applyAlignment="1">
      <alignment horizontal="left" vertical="center" wrapText="1" indent="1"/>
    </xf>
    <xf numFmtId="0" fontId="23" fillId="22" borderId="30" xfId="0" applyFont="1" applyFill="1" applyBorder="1" applyAlignment="1">
      <alignment horizontal="left" vertical="center" wrapText="1" indent="1"/>
    </xf>
    <xf numFmtId="0" fontId="25" fillId="2" borderId="7" xfId="0" applyFont="1" applyFill="1" applyBorder="1" applyAlignment="1">
      <alignment horizontal="center" vertical="center"/>
    </xf>
    <xf numFmtId="0" fontId="25" fillId="2" borderId="0" xfId="0" applyFont="1" applyFill="1" applyAlignment="1">
      <alignment horizontal="center" vertical="center"/>
    </xf>
    <xf numFmtId="0" fontId="25" fillId="2" borderId="29" xfId="0" applyFont="1" applyFill="1" applyBorder="1" applyAlignment="1">
      <alignment horizontal="center"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28"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30" xfId="0" applyBorder="1" applyAlignment="1">
      <alignment horizontal="left" vertical="top" wrapText="1"/>
    </xf>
    <xf numFmtId="0" fontId="12" fillId="14" borderId="2" xfId="0" applyFont="1" applyFill="1" applyBorder="1" applyAlignment="1">
      <alignment horizontal="center" vertical="center" wrapText="1"/>
    </xf>
    <xf numFmtId="0" fontId="12" fillId="14" borderId="3" xfId="0" applyFont="1" applyFill="1" applyBorder="1" applyAlignment="1">
      <alignment horizontal="center" vertical="center" wrapText="1"/>
    </xf>
    <xf numFmtId="0" fontId="12" fillId="14" borderId="28" xfId="0" applyFont="1" applyFill="1" applyBorder="1" applyAlignment="1">
      <alignment horizontal="center" vertical="center" wrapText="1"/>
    </xf>
    <xf numFmtId="0" fontId="12" fillId="14" borderId="7" xfId="0" applyFont="1" applyFill="1" applyBorder="1" applyAlignment="1">
      <alignment horizontal="center" vertical="center" wrapText="1"/>
    </xf>
    <xf numFmtId="0" fontId="12" fillId="14" borderId="0" xfId="0" applyFont="1" applyFill="1" applyAlignment="1">
      <alignment horizontal="center" vertical="center" wrapText="1"/>
    </xf>
    <xf numFmtId="0" fontId="12" fillId="14" borderId="29" xfId="0" applyFont="1" applyFill="1" applyBorder="1" applyAlignment="1">
      <alignment horizontal="center" vertical="center" wrapText="1"/>
    </xf>
    <xf numFmtId="0" fontId="12" fillId="14" borderId="14" xfId="0" applyFont="1" applyFill="1" applyBorder="1" applyAlignment="1">
      <alignment horizontal="center" vertical="center" wrapText="1"/>
    </xf>
    <xf numFmtId="0" fontId="12" fillId="14" borderId="15" xfId="0" applyFont="1" applyFill="1" applyBorder="1" applyAlignment="1">
      <alignment horizontal="center" vertical="center" wrapText="1"/>
    </xf>
    <xf numFmtId="0" fontId="12" fillId="14" borderId="30" xfId="0" applyFont="1" applyFill="1" applyBorder="1" applyAlignment="1">
      <alignment horizontal="center" vertical="center" wrapText="1"/>
    </xf>
    <xf numFmtId="0" fontId="29" fillId="2" borderId="54" xfId="0" applyFont="1" applyFill="1" applyBorder="1" applyAlignment="1">
      <alignment horizontal="center" vertical="center"/>
    </xf>
    <xf numFmtId="0" fontId="29" fillId="2" borderId="1" xfId="0" applyFont="1" applyFill="1" applyBorder="1" applyAlignment="1">
      <alignment horizontal="center" vertical="center"/>
    </xf>
    <xf numFmtId="0" fontId="17" fillId="21" borderId="51" xfId="0" applyFont="1" applyFill="1" applyBorder="1" applyAlignment="1">
      <alignment horizontal="center"/>
    </xf>
    <xf numFmtId="0" fontId="17" fillId="21" borderId="52" xfId="0" applyFont="1" applyFill="1" applyBorder="1" applyAlignment="1">
      <alignment horizontal="center"/>
    </xf>
    <xf numFmtId="0" fontId="17" fillId="21" borderId="53" xfId="0" applyFont="1" applyFill="1" applyBorder="1" applyAlignment="1">
      <alignment horizontal="center"/>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0" borderId="28" xfId="0" applyFont="1" applyBorder="1" applyAlignment="1">
      <alignment horizontal="left" vertical="top" wrapText="1"/>
    </xf>
    <xf numFmtId="0" fontId="3" fillId="0" borderId="7" xfId="0" applyFont="1" applyBorder="1" applyAlignment="1">
      <alignment horizontal="left" vertical="top" wrapText="1"/>
    </xf>
    <xf numFmtId="0" fontId="3" fillId="0" borderId="0" xfId="0" applyFont="1" applyAlignment="1">
      <alignment horizontal="left" vertical="top" wrapText="1"/>
    </xf>
    <xf numFmtId="0" fontId="3" fillId="0" borderId="29"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 fillId="0" borderId="30" xfId="0" applyFont="1" applyBorder="1" applyAlignment="1">
      <alignment horizontal="left" vertical="top" wrapText="1"/>
    </xf>
    <xf numFmtId="0" fontId="37" fillId="2" borderId="0" xfId="0" applyFont="1" applyFill="1" applyAlignment="1">
      <alignment horizontal="center" vertical="center"/>
    </xf>
    <xf numFmtId="0" fontId="3" fillId="3" borderId="17" xfId="0" applyFont="1" applyFill="1" applyBorder="1" applyAlignment="1">
      <alignment horizontal="center" vertical="center"/>
    </xf>
    <xf numFmtId="0" fontId="3" fillId="3" borderId="19" xfId="0" applyFont="1" applyFill="1" applyBorder="1" applyAlignment="1">
      <alignment horizontal="center" vertical="center"/>
    </xf>
    <xf numFmtId="0" fontId="3" fillId="0" borderId="11" xfId="0" applyFont="1" applyBorder="1" applyAlignment="1">
      <alignment horizontal="left" vertical="center" indent="1"/>
    </xf>
    <xf numFmtId="0" fontId="3" fillId="0" borderId="12" xfId="0" applyFont="1" applyBorder="1" applyAlignment="1">
      <alignment horizontal="left" vertical="center" indent="1"/>
    </xf>
    <xf numFmtId="0" fontId="3" fillId="3" borderId="0" xfId="0" applyFont="1" applyFill="1" applyAlignment="1">
      <alignment horizontal="center" vertical="center"/>
    </xf>
    <xf numFmtId="0" fontId="3" fillId="3" borderId="0" xfId="0" applyFont="1" applyFill="1" applyAlignment="1">
      <alignment horizontal="left" vertical="center" indent="1"/>
    </xf>
    <xf numFmtId="0" fontId="4" fillId="2" borderId="51" xfId="0" applyFont="1" applyFill="1" applyBorder="1" applyAlignment="1">
      <alignment horizontal="center"/>
    </xf>
    <xf numFmtId="0" fontId="4" fillId="2" borderId="52" xfId="0" applyFont="1" applyFill="1" applyBorder="1" applyAlignment="1">
      <alignment horizontal="center"/>
    </xf>
    <xf numFmtId="0" fontId="4" fillId="2" borderId="53" xfId="0" applyFont="1" applyFill="1" applyBorder="1" applyAlignment="1">
      <alignment horizontal="center"/>
    </xf>
    <xf numFmtId="0" fontId="3" fillId="3" borderId="18" xfId="0" applyFont="1" applyFill="1" applyBorder="1" applyAlignment="1">
      <alignment horizontal="center" vertical="center"/>
    </xf>
    <xf numFmtId="0" fontId="3" fillId="0" borderId="10" xfId="0" applyFont="1" applyBorder="1" applyAlignment="1">
      <alignment horizontal="left" vertical="center" indent="1"/>
    </xf>
    <xf numFmtId="0" fontId="8" fillId="7" borderId="20" xfId="2" applyFont="1" applyFill="1" applyBorder="1" applyAlignment="1" applyProtection="1">
      <alignment horizontal="center" vertical="center" wrapText="1"/>
      <protection hidden="1"/>
    </xf>
    <xf numFmtId="0" fontId="9" fillId="7" borderId="20" xfId="2" applyFont="1" applyFill="1" applyBorder="1" applyAlignment="1" applyProtection="1">
      <alignment horizontal="center" vertical="center" wrapText="1"/>
      <protection hidden="1"/>
    </xf>
    <xf numFmtId="0" fontId="9" fillId="7" borderId="23" xfId="2" applyFont="1" applyFill="1" applyBorder="1" applyAlignment="1" applyProtection="1">
      <alignment horizontal="center" vertical="center" wrapText="1"/>
      <protection hidden="1"/>
    </xf>
    <xf numFmtId="0" fontId="26" fillId="2" borderId="0" xfId="0" applyFont="1" applyFill="1" applyAlignment="1">
      <alignment horizontal="center" vertical="center"/>
    </xf>
    <xf numFmtId="0" fontId="27" fillId="12" borderId="2" xfId="0" applyFont="1" applyFill="1" applyBorder="1" applyAlignment="1">
      <alignment horizontal="center" vertical="center" wrapText="1"/>
    </xf>
    <xf numFmtId="0" fontId="27" fillId="12" borderId="3" xfId="0" applyFont="1" applyFill="1" applyBorder="1" applyAlignment="1">
      <alignment horizontal="center" vertical="center" wrapText="1"/>
    </xf>
    <xf numFmtId="0" fontId="27" fillId="12" borderId="28" xfId="0" applyFont="1" applyFill="1" applyBorder="1" applyAlignment="1">
      <alignment horizontal="center" vertical="center" wrapText="1"/>
    </xf>
    <xf numFmtId="0" fontId="27" fillId="12" borderId="7" xfId="0" applyFont="1" applyFill="1" applyBorder="1" applyAlignment="1">
      <alignment horizontal="center" vertical="center" wrapText="1"/>
    </xf>
    <xf numFmtId="0" fontId="27" fillId="12" borderId="0" xfId="0" applyFont="1" applyFill="1" applyAlignment="1">
      <alignment horizontal="center" vertical="center" wrapText="1"/>
    </xf>
    <xf numFmtId="0" fontId="27" fillId="12" borderId="29" xfId="0" applyFont="1" applyFill="1" applyBorder="1" applyAlignment="1">
      <alignment horizontal="center" vertical="center" wrapText="1"/>
    </xf>
    <xf numFmtId="0" fontId="27" fillId="12" borderId="14" xfId="0" applyFont="1" applyFill="1" applyBorder="1" applyAlignment="1">
      <alignment horizontal="center" vertical="center" wrapText="1"/>
    </xf>
    <xf numFmtId="0" fontId="27" fillId="12" borderId="15" xfId="0" applyFont="1" applyFill="1" applyBorder="1" applyAlignment="1">
      <alignment horizontal="center" vertical="center" wrapText="1"/>
    </xf>
    <xf numFmtId="0" fontId="27" fillId="12" borderId="30" xfId="0" applyFont="1" applyFill="1" applyBorder="1" applyAlignment="1">
      <alignment horizontal="center" vertical="center" wrapText="1"/>
    </xf>
    <xf numFmtId="0" fontId="17" fillId="5" borderId="0" xfId="0" applyFont="1" applyFill="1" applyAlignment="1">
      <alignment horizontal="center" vertical="center"/>
    </xf>
    <xf numFmtId="0" fontId="16" fillId="0" borderId="2" xfId="0" applyFont="1" applyBorder="1" applyAlignment="1">
      <alignment horizontal="left" vertical="top" wrapText="1"/>
    </xf>
    <xf numFmtId="0" fontId="16" fillId="0" borderId="3" xfId="0" applyFont="1" applyBorder="1" applyAlignment="1">
      <alignment horizontal="left" vertical="top" wrapText="1"/>
    </xf>
    <xf numFmtId="0" fontId="16" fillId="0" borderId="28" xfId="0" applyFont="1" applyBorder="1" applyAlignment="1">
      <alignment horizontal="left" vertical="top" wrapText="1"/>
    </xf>
    <xf numFmtId="0" fontId="16" fillId="0" borderId="7" xfId="0" applyFont="1" applyBorder="1" applyAlignment="1">
      <alignment horizontal="left" vertical="top" wrapText="1"/>
    </xf>
    <xf numFmtId="0" fontId="16" fillId="0" borderId="0" xfId="0" applyFont="1" applyAlignment="1">
      <alignment horizontal="left" vertical="top" wrapText="1"/>
    </xf>
    <xf numFmtId="0" fontId="16" fillId="0" borderId="29" xfId="0" applyFont="1" applyBorder="1" applyAlignment="1">
      <alignment horizontal="left" vertical="top" wrapText="1"/>
    </xf>
    <xf numFmtId="0" fontId="16" fillId="0" borderId="14" xfId="0" applyFont="1" applyBorder="1" applyAlignment="1">
      <alignment horizontal="left" vertical="top" wrapText="1"/>
    </xf>
    <xf numFmtId="0" fontId="16" fillId="0" borderId="15" xfId="0" applyFont="1" applyBorder="1" applyAlignment="1">
      <alignment horizontal="left" vertical="top" wrapText="1"/>
    </xf>
    <xf numFmtId="0" fontId="16" fillId="0" borderId="30" xfId="0" applyFont="1" applyBorder="1" applyAlignment="1">
      <alignment horizontal="left" vertical="top" wrapText="1"/>
    </xf>
    <xf numFmtId="0" fontId="33" fillId="2" borderId="0" xfId="0" applyFont="1" applyFill="1" applyAlignment="1">
      <alignment horizontal="center"/>
    </xf>
    <xf numFmtId="0" fontId="16" fillId="8" borderId="20" xfId="0" applyFont="1" applyFill="1" applyBorder="1" applyAlignment="1">
      <alignment horizontal="left" vertical="center"/>
    </xf>
    <xf numFmtId="0" fontId="21" fillId="2" borderId="51" xfId="0" applyFont="1" applyFill="1" applyBorder="1" applyAlignment="1">
      <alignment horizontal="center" vertical="center"/>
    </xf>
    <xf numFmtId="0" fontId="21" fillId="2" borderId="52" xfId="0" applyFont="1" applyFill="1" applyBorder="1" applyAlignment="1">
      <alignment horizontal="center" vertical="center"/>
    </xf>
    <xf numFmtId="0" fontId="21" fillId="2" borderId="53" xfId="0" applyFont="1" applyFill="1" applyBorder="1" applyAlignment="1">
      <alignment horizontal="center" vertical="center"/>
    </xf>
    <xf numFmtId="0" fontId="12" fillId="19" borderId="37" xfId="0" applyFont="1" applyFill="1" applyBorder="1" applyAlignment="1">
      <alignment horizontal="center" vertical="top" wrapText="1"/>
    </xf>
    <xf numFmtId="0" fontId="12" fillId="19" borderId="38" xfId="0" applyFont="1" applyFill="1" applyBorder="1" applyAlignment="1">
      <alignment horizontal="center" vertical="top" wrapText="1"/>
    </xf>
    <xf numFmtId="0" fontId="12" fillId="19" borderId="12" xfId="0" applyFont="1" applyFill="1" applyBorder="1" applyAlignment="1">
      <alignment horizontal="center" vertical="top" wrapText="1"/>
    </xf>
    <xf numFmtId="0" fontId="19" fillId="5" borderId="37" xfId="0" applyFont="1" applyFill="1" applyBorder="1" applyAlignment="1">
      <alignment horizontal="center" vertical="top" wrapText="1"/>
    </xf>
    <xf numFmtId="0" fontId="19" fillId="5" borderId="38" xfId="0" applyFont="1" applyFill="1" applyBorder="1" applyAlignment="1">
      <alignment horizontal="center" vertical="top" wrapText="1"/>
    </xf>
    <xf numFmtId="0" fontId="19" fillId="5" borderId="12" xfId="0" applyFont="1" applyFill="1" applyBorder="1" applyAlignment="1">
      <alignment horizontal="center" vertical="top" wrapText="1"/>
    </xf>
    <xf numFmtId="0" fontId="19" fillId="15" borderId="19" xfId="0" applyFont="1" applyFill="1" applyBorder="1" applyAlignment="1">
      <alignment horizontal="center" vertical="top" wrapText="1"/>
    </xf>
    <xf numFmtId="0" fontId="19" fillId="15" borderId="38" xfId="0" applyFont="1" applyFill="1" applyBorder="1" applyAlignment="1">
      <alignment horizontal="center" vertical="top" wrapText="1"/>
    </xf>
    <xf numFmtId="0" fontId="19" fillId="15" borderId="12" xfId="0" applyFont="1" applyFill="1" applyBorder="1" applyAlignment="1">
      <alignment horizontal="center" vertical="top" wrapText="1"/>
    </xf>
    <xf numFmtId="0" fontId="19" fillId="16" borderId="19" xfId="0" applyFont="1" applyFill="1" applyBorder="1" applyAlignment="1">
      <alignment horizontal="center" vertical="top" wrapText="1"/>
    </xf>
    <xf numFmtId="0" fontId="19" fillId="16" borderId="38" xfId="0" applyFont="1" applyFill="1" applyBorder="1" applyAlignment="1">
      <alignment horizontal="center" vertical="top" wrapText="1"/>
    </xf>
    <xf numFmtId="0" fontId="19" fillId="16" borderId="12" xfId="0" applyFont="1" applyFill="1" applyBorder="1" applyAlignment="1">
      <alignment horizontal="center" vertical="top" wrapText="1"/>
    </xf>
    <xf numFmtId="0" fontId="12" fillId="9" borderId="19" xfId="0" applyFont="1" applyFill="1" applyBorder="1" applyAlignment="1">
      <alignment horizontal="center" vertical="top" wrapText="1"/>
    </xf>
    <xf numFmtId="0" fontId="12" fillId="9" borderId="38" xfId="0" applyFont="1" applyFill="1" applyBorder="1" applyAlignment="1">
      <alignment horizontal="center" vertical="top" wrapText="1"/>
    </xf>
    <xf numFmtId="0" fontId="12" fillId="9" borderId="35" xfId="0" applyFont="1" applyFill="1" applyBorder="1" applyAlignment="1">
      <alignment horizontal="center" vertical="top" wrapText="1"/>
    </xf>
    <xf numFmtId="0" fontId="12" fillId="17" borderId="37" xfId="0" applyFont="1" applyFill="1" applyBorder="1" applyAlignment="1">
      <alignment horizontal="center" vertical="top" wrapText="1"/>
    </xf>
    <xf numFmtId="0" fontId="12" fillId="17" borderId="38" xfId="0" applyFont="1" applyFill="1" applyBorder="1" applyAlignment="1">
      <alignment horizontal="center" vertical="top" wrapText="1"/>
    </xf>
    <xf numFmtId="0" fontId="12" fillId="17" borderId="35" xfId="0" applyFont="1" applyFill="1" applyBorder="1" applyAlignment="1">
      <alignment horizontal="center" vertical="top" wrapText="1"/>
    </xf>
    <xf numFmtId="0" fontId="12" fillId="18" borderId="37" xfId="0" applyFont="1" applyFill="1" applyBorder="1" applyAlignment="1">
      <alignment horizontal="center" vertical="top" wrapText="1"/>
    </xf>
    <xf numFmtId="0" fontId="12" fillId="18" borderId="38" xfId="0" applyFont="1" applyFill="1" applyBorder="1" applyAlignment="1">
      <alignment horizontal="center" vertical="top" wrapText="1"/>
    </xf>
    <xf numFmtId="0" fontId="12" fillId="18" borderId="35" xfId="0" applyFont="1" applyFill="1" applyBorder="1" applyAlignment="1">
      <alignment horizontal="center" vertical="top" wrapText="1"/>
    </xf>
    <xf numFmtId="0" fontId="19" fillId="10" borderId="22" xfId="0" applyFont="1" applyFill="1" applyBorder="1" applyAlignment="1">
      <alignment horizontal="center" vertical="center" wrapText="1"/>
    </xf>
    <xf numFmtId="0" fontId="19" fillId="10" borderId="20" xfId="0" applyFont="1" applyFill="1" applyBorder="1" applyAlignment="1">
      <alignment horizontal="center" vertical="center" wrapText="1"/>
    </xf>
    <xf numFmtId="0" fontId="19" fillId="10" borderId="20" xfId="0" applyFont="1" applyFill="1" applyBorder="1" applyAlignment="1">
      <alignment horizontal="center" vertical="center"/>
    </xf>
    <xf numFmtId="0" fontId="16" fillId="10" borderId="20" xfId="0" applyFont="1" applyFill="1" applyBorder="1" applyAlignment="1">
      <alignment horizontal="center" vertical="center" wrapText="1"/>
    </xf>
    <xf numFmtId="0" fontId="2" fillId="10" borderId="20" xfId="0" applyFont="1" applyFill="1" applyBorder="1" applyAlignment="1">
      <alignment horizontal="center" vertical="center"/>
    </xf>
    <xf numFmtId="0" fontId="17" fillId="3" borderId="20" xfId="0" applyFont="1" applyFill="1" applyBorder="1" applyAlignment="1">
      <alignment horizontal="center"/>
    </xf>
    <xf numFmtId="0" fontId="17" fillId="3" borderId="20" xfId="0" applyFont="1" applyFill="1" applyBorder="1" applyAlignment="1">
      <alignment horizontal="center" vertical="center"/>
    </xf>
    <xf numFmtId="0" fontId="32" fillId="2" borderId="55" xfId="0" applyFont="1" applyFill="1" applyBorder="1" applyAlignment="1">
      <alignment horizontal="center"/>
    </xf>
    <xf numFmtId="0" fontId="32" fillId="2" borderId="54" xfId="0" applyFont="1" applyFill="1" applyBorder="1" applyAlignment="1">
      <alignment horizontal="center"/>
    </xf>
    <xf numFmtId="0" fontId="32" fillId="2" borderId="56" xfId="0" applyFont="1" applyFill="1" applyBorder="1" applyAlignment="1">
      <alignment horizontal="center"/>
    </xf>
    <xf numFmtId="0" fontId="32" fillId="2" borderId="26" xfId="0" applyFont="1" applyFill="1" applyBorder="1" applyAlignment="1">
      <alignment horizontal="center"/>
    </xf>
    <xf numFmtId="0" fontId="32" fillId="2" borderId="1" xfId="0" applyFont="1" applyFill="1" applyBorder="1" applyAlignment="1">
      <alignment horizontal="center"/>
    </xf>
    <xf numFmtId="0" fontId="32" fillId="2" borderId="33" xfId="0" applyFont="1" applyFill="1" applyBorder="1" applyAlignment="1">
      <alignment horizontal="center"/>
    </xf>
    <xf numFmtId="0" fontId="3" fillId="10" borderId="55" xfId="0" applyFont="1" applyFill="1" applyBorder="1" applyAlignment="1">
      <alignment horizontal="center" vertical="center" wrapText="1"/>
    </xf>
    <xf numFmtId="0" fontId="3" fillId="10" borderId="56" xfId="0" applyFont="1" applyFill="1" applyBorder="1" applyAlignment="1">
      <alignment horizontal="center" vertical="center" wrapText="1"/>
    </xf>
    <xf numFmtId="0" fontId="3" fillId="10" borderId="57" xfId="0" applyFont="1" applyFill="1" applyBorder="1" applyAlignment="1">
      <alignment horizontal="center" vertical="center" wrapText="1"/>
    </xf>
    <xf numFmtId="0" fontId="3" fillId="10" borderId="58" xfId="0" applyFont="1" applyFill="1" applyBorder="1" applyAlignment="1">
      <alignment horizontal="center" vertical="center" wrapText="1"/>
    </xf>
    <xf numFmtId="0" fontId="3" fillId="10" borderId="26" xfId="0" applyFont="1" applyFill="1" applyBorder="1" applyAlignment="1">
      <alignment horizontal="center" vertical="center" wrapText="1"/>
    </xf>
    <xf numFmtId="0" fontId="3" fillId="10" borderId="33" xfId="0" applyFont="1" applyFill="1" applyBorder="1" applyAlignment="1">
      <alignment horizontal="center" vertical="center" wrapText="1"/>
    </xf>
    <xf numFmtId="0" fontId="3" fillId="11" borderId="23" xfId="0" applyFont="1" applyFill="1" applyBorder="1" applyAlignment="1">
      <alignment horizontal="left" vertical="top"/>
    </xf>
    <xf numFmtId="0" fontId="3" fillId="11" borderId="46" xfId="0" applyFont="1" applyFill="1" applyBorder="1" applyAlignment="1">
      <alignment horizontal="left" vertical="top"/>
    </xf>
    <xf numFmtId="0" fontId="3" fillId="11" borderId="22" xfId="0" applyFont="1" applyFill="1" applyBorder="1" applyAlignment="1">
      <alignment horizontal="left" vertical="top"/>
    </xf>
    <xf numFmtId="0" fontId="3" fillId="0" borderId="20" xfId="0" applyFont="1" applyBorder="1" applyAlignment="1">
      <alignment horizontal="left" vertical="top" wrapText="1"/>
    </xf>
    <xf numFmtId="165" fontId="0" fillId="0" borderId="20" xfId="0" applyNumberFormat="1" applyBorder="1" applyAlignment="1">
      <alignment horizontal="center" vertical="center"/>
    </xf>
    <xf numFmtId="0" fontId="5" fillId="0" borderId="20" xfId="0" applyFont="1" applyBorder="1" applyAlignment="1">
      <alignment horizontal="center" vertical="center"/>
    </xf>
    <xf numFmtId="0" fontId="5" fillId="0" borderId="25" xfId="0" applyFont="1" applyBorder="1" applyAlignment="1">
      <alignment horizontal="left" vertical="top" wrapText="1"/>
    </xf>
    <xf numFmtId="0" fontId="5" fillId="0" borderId="20" xfId="0" applyFont="1" applyBorder="1" applyAlignment="1">
      <alignment horizontal="left" vertical="top" wrapText="1"/>
    </xf>
    <xf numFmtId="0" fontId="0" fillId="8" borderId="55" xfId="0" applyFill="1" applyBorder="1" applyAlignment="1">
      <alignment horizontal="left" vertical="top" wrapText="1"/>
    </xf>
    <xf numFmtId="0" fontId="0" fillId="8" borderId="54" xfId="0" applyFill="1" applyBorder="1" applyAlignment="1">
      <alignment horizontal="left" vertical="top" wrapText="1"/>
    </xf>
    <xf numFmtId="0" fontId="0" fillId="8" borderId="56" xfId="0" applyFill="1" applyBorder="1" applyAlignment="1">
      <alignment horizontal="left" vertical="top" wrapText="1"/>
    </xf>
    <xf numFmtId="0" fontId="0" fillId="8" borderId="57" xfId="0" applyFill="1" applyBorder="1" applyAlignment="1">
      <alignment horizontal="left" vertical="top" wrapText="1"/>
    </xf>
    <xf numFmtId="0" fontId="0" fillId="8" borderId="0" xfId="0" applyFill="1" applyAlignment="1">
      <alignment horizontal="left" vertical="top" wrapText="1"/>
    </xf>
    <xf numFmtId="0" fontId="0" fillId="8" borderId="58" xfId="0" applyFill="1" applyBorder="1" applyAlignment="1">
      <alignment horizontal="left" vertical="top" wrapText="1"/>
    </xf>
    <xf numFmtId="165" fontId="0" fillId="0" borderId="21" xfId="0" applyNumberFormat="1" applyBorder="1" applyAlignment="1">
      <alignment horizontal="center" vertical="center"/>
    </xf>
    <xf numFmtId="165" fontId="0" fillId="0" borderId="60" xfId="0" applyNumberFormat="1" applyBorder="1" applyAlignment="1">
      <alignment horizontal="center" vertical="center"/>
    </xf>
    <xf numFmtId="165" fontId="0" fillId="0" borderId="25" xfId="0" applyNumberFormat="1" applyBorder="1" applyAlignment="1">
      <alignment horizontal="center" vertical="center"/>
    </xf>
    <xf numFmtId="0" fontId="0" fillId="8" borderId="26" xfId="0" applyFill="1" applyBorder="1" applyAlignment="1">
      <alignment horizontal="left" vertical="top" wrapText="1"/>
    </xf>
    <xf numFmtId="0" fontId="0" fillId="8" borderId="1" xfId="0" applyFill="1" applyBorder="1" applyAlignment="1">
      <alignment horizontal="left" vertical="top" wrapText="1"/>
    </xf>
    <xf numFmtId="0" fontId="0" fillId="8" borderId="33" xfId="0" applyFill="1" applyBorder="1" applyAlignment="1">
      <alignment horizontal="left" vertical="top" wrapText="1"/>
    </xf>
    <xf numFmtId="165" fontId="0" fillId="0" borderId="20" xfId="0" applyNumberFormat="1" applyBorder="1" applyAlignment="1">
      <alignment horizontal="left" vertical="center"/>
    </xf>
    <xf numFmtId="0" fontId="30" fillId="8" borderId="0" xfId="0" applyFont="1" applyFill="1" applyAlignment="1">
      <alignment horizontal="center"/>
    </xf>
    <xf numFmtId="0" fontId="3" fillId="8" borderId="55" xfId="0" applyFont="1" applyFill="1" applyBorder="1" applyAlignment="1">
      <alignment horizontal="left" vertical="top" wrapText="1"/>
    </xf>
    <xf numFmtId="0" fontId="3" fillId="8" borderId="54" xfId="0" applyFont="1" applyFill="1" applyBorder="1" applyAlignment="1">
      <alignment horizontal="left" vertical="top" wrapText="1"/>
    </xf>
    <xf numFmtId="0" fontId="3" fillId="8" borderId="56" xfId="0" applyFont="1" applyFill="1" applyBorder="1" applyAlignment="1">
      <alignment horizontal="left" vertical="top" wrapText="1"/>
    </xf>
    <xf numFmtId="0" fontId="3" fillId="8" borderId="57" xfId="0" applyFont="1" applyFill="1" applyBorder="1" applyAlignment="1">
      <alignment horizontal="left" vertical="top" wrapText="1"/>
    </xf>
    <xf numFmtId="0" fontId="3" fillId="8" borderId="0" xfId="0" applyFont="1" applyFill="1" applyAlignment="1">
      <alignment horizontal="left" vertical="top" wrapText="1"/>
    </xf>
    <xf numFmtId="0" fontId="3" fillId="8" borderId="58" xfId="0" applyFont="1" applyFill="1" applyBorder="1" applyAlignment="1">
      <alignment horizontal="left" vertical="top" wrapText="1"/>
    </xf>
    <xf numFmtId="0" fontId="3" fillId="8" borderId="26" xfId="0" applyFont="1" applyFill="1" applyBorder="1" applyAlignment="1">
      <alignment horizontal="left" vertical="top" wrapText="1"/>
    </xf>
    <xf numFmtId="0" fontId="3" fillId="8" borderId="1" xfId="0" applyFont="1" applyFill="1" applyBorder="1" applyAlignment="1">
      <alignment horizontal="left" vertical="top" wrapText="1"/>
    </xf>
    <xf numFmtId="0" fontId="3" fillId="8" borderId="33" xfId="0" applyFont="1" applyFill="1" applyBorder="1" applyAlignment="1">
      <alignment horizontal="left" vertical="top" wrapText="1"/>
    </xf>
    <xf numFmtId="0" fontId="3" fillId="8" borderId="55" xfId="0" applyFont="1" applyFill="1" applyBorder="1" applyAlignment="1">
      <alignment horizontal="left" vertical="top"/>
    </xf>
    <xf numFmtId="0" fontId="3" fillId="8" borderId="54" xfId="0" applyFont="1" applyFill="1" applyBorder="1" applyAlignment="1">
      <alignment horizontal="left" vertical="top"/>
    </xf>
    <xf numFmtId="0" fontId="3" fillId="8" borderId="56" xfId="0" applyFont="1" applyFill="1" applyBorder="1" applyAlignment="1">
      <alignment horizontal="left" vertical="top"/>
    </xf>
    <xf numFmtId="0" fontId="3" fillId="8" borderId="57" xfId="0" applyFont="1" applyFill="1" applyBorder="1" applyAlignment="1">
      <alignment horizontal="left" vertical="top"/>
    </xf>
    <xf numFmtId="0" fontId="3" fillId="8" borderId="0" xfId="0" applyFont="1" applyFill="1" applyAlignment="1">
      <alignment horizontal="left" vertical="top"/>
    </xf>
    <xf numFmtId="0" fontId="3" fillId="8" borderId="58" xfId="0" applyFont="1" applyFill="1" applyBorder="1" applyAlignment="1">
      <alignment horizontal="left" vertical="top"/>
    </xf>
    <xf numFmtId="0" fontId="3" fillId="8" borderId="26" xfId="0" applyFont="1" applyFill="1" applyBorder="1" applyAlignment="1">
      <alignment horizontal="left" vertical="top"/>
    </xf>
    <xf numFmtId="0" fontId="3" fillId="8" borderId="1" xfId="0" applyFont="1" applyFill="1" applyBorder="1" applyAlignment="1">
      <alignment horizontal="left" vertical="top"/>
    </xf>
    <xf numFmtId="0" fontId="3" fillId="8" borderId="33" xfId="0" applyFont="1" applyFill="1" applyBorder="1" applyAlignment="1">
      <alignment horizontal="left" vertical="top"/>
    </xf>
    <xf numFmtId="0" fontId="3" fillId="8" borderId="1" xfId="0" applyFont="1" applyFill="1" applyBorder="1" applyAlignment="1">
      <alignment horizontal="center"/>
    </xf>
    <xf numFmtId="0" fontId="3" fillId="8" borderId="54" xfId="0" applyFont="1" applyFill="1" applyBorder="1" applyAlignment="1">
      <alignment horizontal="center" vertical="center"/>
    </xf>
    <xf numFmtId="0" fontId="3" fillId="8" borderId="1" xfId="0" applyFont="1" applyFill="1" applyBorder="1" applyAlignment="1">
      <alignment horizontal="center" vertical="top"/>
    </xf>
    <xf numFmtId="0" fontId="3" fillId="8" borderId="54" xfId="0" applyFont="1" applyFill="1" applyBorder="1" applyAlignment="1">
      <alignment horizontal="center"/>
    </xf>
    <xf numFmtId="0" fontId="3" fillId="8" borderId="0" xfId="0" applyFont="1" applyFill="1" applyAlignment="1">
      <alignment horizontal="center"/>
    </xf>
    <xf numFmtId="0" fontId="17" fillId="8" borderId="49" xfId="0" applyFont="1" applyFill="1" applyBorder="1" applyAlignment="1">
      <alignment horizontal="center" vertical="center"/>
    </xf>
    <xf numFmtId="0" fontId="17" fillId="8" borderId="59" xfId="0" applyFont="1" applyFill="1" applyBorder="1" applyAlignment="1">
      <alignment horizontal="center" vertical="center"/>
    </xf>
    <xf numFmtId="0" fontId="16" fillId="8" borderId="47" xfId="0" applyFont="1" applyFill="1" applyBorder="1" applyAlignment="1">
      <alignment horizontal="center" vertical="center" wrapText="1"/>
    </xf>
    <xf numFmtId="0" fontId="16" fillId="8" borderId="48" xfId="0" applyFont="1" applyFill="1" applyBorder="1" applyAlignment="1">
      <alignment horizontal="center" vertical="center" wrapText="1"/>
    </xf>
    <xf numFmtId="0" fontId="16" fillId="8" borderId="14" xfId="0" applyFont="1" applyFill="1" applyBorder="1" applyAlignment="1">
      <alignment horizontal="center" vertical="top" wrapText="1"/>
    </xf>
    <xf numFmtId="0" fontId="16" fillId="8" borderId="30" xfId="0" applyFont="1" applyFill="1" applyBorder="1" applyAlignment="1">
      <alignment horizontal="center" vertical="top" wrapText="1"/>
    </xf>
    <xf numFmtId="0" fontId="35" fillId="8" borderId="0" xfId="0" applyFont="1" applyFill="1" applyAlignment="1">
      <alignment horizontal="center" vertical="center" wrapText="1"/>
    </xf>
    <xf numFmtId="0" fontId="19" fillId="18" borderId="37" xfId="0" applyFont="1" applyFill="1" applyBorder="1" applyAlignment="1">
      <alignment horizontal="center" vertical="top" wrapText="1"/>
    </xf>
    <xf numFmtId="0" fontId="19" fillId="18" borderId="38" xfId="0" applyFont="1" applyFill="1" applyBorder="1" applyAlignment="1">
      <alignment horizontal="center" vertical="top" wrapText="1"/>
    </xf>
    <xf numFmtId="0" fontId="19" fillId="18" borderId="35" xfId="0" applyFont="1" applyFill="1" applyBorder="1" applyAlignment="1">
      <alignment horizontal="center" vertical="top" wrapText="1"/>
    </xf>
    <xf numFmtId="0" fontId="19" fillId="19" borderId="37" xfId="0" applyFont="1" applyFill="1" applyBorder="1" applyAlignment="1">
      <alignment horizontal="center" vertical="top" wrapText="1"/>
    </xf>
    <xf numFmtId="0" fontId="19" fillId="19" borderId="38" xfId="0" applyFont="1" applyFill="1" applyBorder="1" applyAlignment="1">
      <alignment horizontal="center" vertical="top" wrapText="1"/>
    </xf>
    <xf numFmtId="0" fontId="19" fillId="19" borderId="12" xfId="0" applyFont="1" applyFill="1" applyBorder="1" applyAlignment="1">
      <alignment horizontal="center" vertical="top" wrapText="1"/>
    </xf>
    <xf numFmtId="0" fontId="19" fillId="9" borderId="19" xfId="0" applyFont="1" applyFill="1" applyBorder="1" applyAlignment="1">
      <alignment horizontal="center" vertical="top" wrapText="1"/>
    </xf>
    <xf numFmtId="0" fontId="19" fillId="9" borderId="38" xfId="0" applyFont="1" applyFill="1" applyBorder="1" applyAlignment="1">
      <alignment horizontal="center" vertical="top" wrapText="1"/>
    </xf>
    <xf numFmtId="0" fontId="19" fillId="9" borderId="35" xfId="0" applyFont="1" applyFill="1" applyBorder="1" applyAlignment="1">
      <alignment horizontal="center" vertical="top" wrapText="1"/>
    </xf>
    <xf numFmtId="0" fontId="19" fillId="17" borderId="37" xfId="0" applyFont="1" applyFill="1" applyBorder="1" applyAlignment="1">
      <alignment horizontal="center" vertical="top" wrapText="1"/>
    </xf>
    <xf numFmtId="0" fontId="19" fillId="17" borderId="38" xfId="0" applyFont="1" applyFill="1" applyBorder="1" applyAlignment="1">
      <alignment horizontal="center" vertical="top" wrapText="1"/>
    </xf>
    <xf numFmtId="0" fontId="19" fillId="17" borderId="35" xfId="0" applyFont="1" applyFill="1" applyBorder="1" applyAlignment="1">
      <alignment horizontal="center" vertical="top" wrapText="1"/>
    </xf>
    <xf numFmtId="0" fontId="18" fillId="2" borderId="0" xfId="0" applyFont="1" applyFill="1" applyAlignment="1">
      <alignment horizontal="center"/>
    </xf>
    <xf numFmtId="0" fontId="21" fillId="2" borderId="0" xfId="0" applyFont="1" applyFill="1" applyAlignment="1">
      <alignment horizontal="center" vertical="center"/>
    </xf>
    <xf numFmtId="0" fontId="2" fillId="10" borderId="2" xfId="0" applyFont="1" applyFill="1" applyBorder="1" applyAlignment="1">
      <alignment horizontal="center" vertical="center"/>
    </xf>
    <xf numFmtId="0" fontId="2" fillId="10" borderId="14" xfId="0" applyFont="1" applyFill="1" applyBorder="1" applyAlignment="1">
      <alignment horizontal="center" vertical="center"/>
    </xf>
    <xf numFmtId="0" fontId="2" fillId="10" borderId="4" xfId="0" applyFont="1" applyFill="1" applyBorder="1" applyAlignment="1">
      <alignment horizontal="center" vertical="center"/>
    </xf>
    <xf numFmtId="0" fontId="2" fillId="10" borderId="16" xfId="0" applyFont="1" applyFill="1" applyBorder="1" applyAlignment="1">
      <alignment horizontal="center" vertical="center"/>
    </xf>
    <xf numFmtId="0" fontId="19" fillId="5" borderId="40" xfId="0" applyFont="1" applyFill="1" applyBorder="1" applyAlignment="1">
      <alignment horizontal="center" vertical="top" wrapText="1"/>
    </xf>
    <xf numFmtId="0" fontId="19" fillId="5" borderId="41" xfId="0" applyFont="1" applyFill="1" applyBorder="1" applyAlignment="1">
      <alignment horizontal="center" vertical="top" wrapText="1"/>
    </xf>
    <xf numFmtId="0" fontId="19" fillId="5" borderId="42" xfId="0" applyFont="1" applyFill="1" applyBorder="1" applyAlignment="1">
      <alignment horizontal="center" vertical="top" wrapText="1"/>
    </xf>
    <xf numFmtId="0" fontId="19" fillId="15" borderId="40" xfId="0" applyFont="1" applyFill="1" applyBorder="1" applyAlignment="1">
      <alignment horizontal="center" vertical="top" wrapText="1"/>
    </xf>
    <xf numFmtId="0" fontId="19" fillId="15" borderId="41" xfId="0" applyFont="1" applyFill="1" applyBorder="1" applyAlignment="1">
      <alignment horizontal="center" vertical="top" wrapText="1"/>
    </xf>
    <xf numFmtId="0" fontId="19" fillId="15" borderId="42" xfId="0" applyFont="1" applyFill="1" applyBorder="1" applyAlignment="1">
      <alignment horizontal="center" vertical="top" wrapText="1"/>
    </xf>
    <xf numFmtId="0" fontId="19" fillId="16" borderId="40" xfId="0" applyFont="1" applyFill="1" applyBorder="1" applyAlignment="1">
      <alignment horizontal="center" vertical="top" wrapText="1"/>
    </xf>
    <xf numFmtId="0" fontId="19" fillId="16" borderId="41" xfId="0" applyFont="1" applyFill="1" applyBorder="1" applyAlignment="1">
      <alignment horizontal="center" vertical="top" wrapText="1"/>
    </xf>
    <xf numFmtId="0" fontId="19" fillId="16" borderId="42" xfId="0" applyFont="1" applyFill="1" applyBorder="1" applyAlignment="1">
      <alignment horizontal="center" vertical="top" wrapText="1"/>
    </xf>
    <xf numFmtId="0" fontId="12" fillId="9" borderId="40" xfId="0" applyFont="1" applyFill="1" applyBorder="1" applyAlignment="1">
      <alignment horizontal="center" vertical="top" wrapText="1"/>
    </xf>
    <xf numFmtId="0" fontId="12" fillId="9" borderId="41" xfId="0" applyFont="1" applyFill="1" applyBorder="1" applyAlignment="1">
      <alignment horizontal="center" vertical="top" wrapText="1"/>
    </xf>
    <xf numFmtId="0" fontId="12" fillId="9" borderId="44" xfId="0" applyFont="1" applyFill="1" applyBorder="1" applyAlignment="1">
      <alignment horizontal="center" vertical="top" wrapText="1"/>
    </xf>
    <xf numFmtId="0" fontId="12" fillId="17" borderId="45" xfId="0" applyFont="1" applyFill="1" applyBorder="1" applyAlignment="1">
      <alignment horizontal="center" vertical="top" wrapText="1"/>
    </xf>
    <xf numFmtId="0" fontId="12" fillId="17" borderId="41" xfId="0" applyFont="1" applyFill="1" applyBorder="1" applyAlignment="1">
      <alignment horizontal="center" vertical="top" wrapText="1"/>
    </xf>
    <xf numFmtId="0" fontId="12" fillId="17" borderId="44" xfId="0" applyFont="1" applyFill="1" applyBorder="1" applyAlignment="1">
      <alignment horizontal="center" vertical="top" wrapText="1"/>
    </xf>
    <xf numFmtId="0" fontId="12" fillId="18" borderId="45" xfId="0" applyFont="1" applyFill="1" applyBorder="1" applyAlignment="1">
      <alignment horizontal="center" vertical="top" wrapText="1"/>
    </xf>
    <xf numFmtId="0" fontId="12" fillId="18" borderId="41" xfId="0" applyFont="1" applyFill="1" applyBorder="1" applyAlignment="1">
      <alignment horizontal="center" vertical="top" wrapText="1"/>
    </xf>
    <xf numFmtId="0" fontId="12" fillId="18" borderId="44" xfId="0" applyFont="1" applyFill="1" applyBorder="1" applyAlignment="1">
      <alignment horizontal="center" vertical="top" wrapText="1"/>
    </xf>
    <xf numFmtId="0" fontId="12" fillId="19" borderId="45" xfId="0" applyFont="1" applyFill="1" applyBorder="1" applyAlignment="1">
      <alignment horizontal="center" vertical="top" wrapText="1"/>
    </xf>
    <xf numFmtId="0" fontId="12" fillId="19" borderId="41" xfId="0" applyFont="1" applyFill="1" applyBorder="1" applyAlignment="1">
      <alignment horizontal="center" vertical="top" wrapText="1"/>
    </xf>
    <xf numFmtId="0" fontId="12" fillId="19" borderId="42" xfId="0" applyFont="1" applyFill="1" applyBorder="1" applyAlignment="1">
      <alignment horizontal="center" vertical="top" wrapText="1"/>
    </xf>
  </cellXfs>
  <cellStyles count="5">
    <cellStyle name="Normal" xfId="0" builtinId="0"/>
    <cellStyle name="Normal 2" xfId="1" xr:uid="{00000000-0005-0000-0000-000001000000}"/>
    <cellStyle name="Normal 2 2 2" xfId="2" xr:uid="{00000000-0005-0000-0000-000002000000}"/>
    <cellStyle name="Normal 2 2 6" xfId="3" xr:uid="{00000000-0005-0000-0000-000003000000}"/>
    <cellStyle name="Normal 4 4" xfId="4" xr:uid="{00000000-0005-0000-0000-000004000000}"/>
  </cellStyles>
  <dxfs count="0"/>
  <tableStyles count="0" defaultTableStyle="TableStyleMedium2" defaultPivotStyle="PivotStyleLight16"/>
  <colors>
    <mruColors>
      <color rgb="FFFD4133"/>
      <color rgb="FFFFFF66"/>
      <color rgb="FF9999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6/relationships/xlMacrosheet" Target="macrosheets/sheet3.xml"/><Relationship Id="rId26" Type="http://schemas.openxmlformats.org/officeDocument/2006/relationships/worksheet" Target="worksheets/sheet23.xml"/><Relationship Id="rId39" Type="http://schemas.openxmlformats.org/officeDocument/2006/relationships/theme" Target="theme/theme1.xml"/><Relationship Id="rId21" Type="http://schemas.openxmlformats.org/officeDocument/2006/relationships/worksheet" Target="worksheets/sheet18.xml"/><Relationship Id="rId34" Type="http://schemas.openxmlformats.org/officeDocument/2006/relationships/worksheet" Target="worksheets/sheet3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6/relationships/xlMacrosheet" Target="macrosheets/sheet1.xml"/><Relationship Id="rId20" Type="http://schemas.openxmlformats.org/officeDocument/2006/relationships/worksheet" Target="worksheets/sheet17.xml"/><Relationship Id="rId29" Type="http://schemas.openxmlformats.org/officeDocument/2006/relationships/worksheet" Target="worksheets/sheet26.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1.xml"/><Relationship Id="rId32" Type="http://schemas.openxmlformats.org/officeDocument/2006/relationships/worksheet" Target="worksheets/sheet29.xml"/><Relationship Id="rId37" Type="http://schemas.openxmlformats.org/officeDocument/2006/relationships/worksheet" Target="worksheets/sheet3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5.xml"/><Relationship Id="rId36" Type="http://schemas.openxmlformats.org/officeDocument/2006/relationships/worksheet" Target="worksheets/sheet33.xml"/><Relationship Id="rId10" Type="http://schemas.openxmlformats.org/officeDocument/2006/relationships/worksheet" Target="worksheets/sheet10.xml"/><Relationship Id="rId19" Type="http://schemas.openxmlformats.org/officeDocument/2006/relationships/worksheet" Target="worksheets/sheet16.xml"/><Relationship Id="rId31" Type="http://schemas.openxmlformats.org/officeDocument/2006/relationships/worksheet" Target="worksheets/sheet2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4.xml"/><Relationship Id="rId30" Type="http://schemas.openxmlformats.org/officeDocument/2006/relationships/worksheet" Target="worksheets/sheet27.xml"/><Relationship Id="rId35" Type="http://schemas.openxmlformats.org/officeDocument/2006/relationships/worksheet" Target="worksheets/sheet3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6/relationships/xlMacrosheet" Target="macrosheets/sheet2.xml"/><Relationship Id="rId25" Type="http://schemas.openxmlformats.org/officeDocument/2006/relationships/worksheet" Target="worksheets/sheet22.xml"/><Relationship Id="rId33" Type="http://schemas.openxmlformats.org/officeDocument/2006/relationships/worksheet" Target="worksheets/sheet30.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Spin" dx="22" fmlaLink="$M$3" max="30000" page="10"/>
</file>

<file path=xl/ctrlProps/ctrlProp2.xml><?xml version="1.0" encoding="utf-8"?>
<formControlPr xmlns="http://schemas.microsoft.com/office/spreadsheetml/2009/9/main" objectType="Spin" dx="22" fmlaLink="$M$3" max="30000" page="10"/>
</file>

<file path=xl/ctrlProps/ctrlProp3.xml><?xml version="1.0" encoding="utf-8"?>
<formControlPr xmlns="http://schemas.microsoft.com/office/spreadsheetml/2009/9/main" objectType="Spin" dx="22" fmlaLink="$M$3" max="30000" page="10"/>
</file>

<file path=xl/ctrlProps/ctrlProp4.xml><?xml version="1.0" encoding="utf-8"?>
<formControlPr xmlns="http://schemas.microsoft.com/office/spreadsheetml/2009/9/main" objectType="Spin" dx="22" fmlaLink="$M$3" max="30000" page="10"/>
</file>

<file path=xl/drawings/_rels/drawing1.xml.rels><?xml version="1.0" encoding="UTF-8" standalone="yes"?>
<Relationships xmlns="http://schemas.openxmlformats.org/package/2006/relationships"><Relationship Id="rId8" Type="http://schemas.openxmlformats.org/officeDocument/2006/relationships/hyperlink" Target="#RAPOR!A1"/><Relationship Id="rId3" Type="http://schemas.openxmlformats.org/officeDocument/2006/relationships/hyperlink" Target="#'Data Siswa'!A1"/><Relationship Id="rId7" Type="http://schemas.openxmlformats.org/officeDocument/2006/relationships/hyperlink" Target="#'CAT1'!A1"/><Relationship Id="rId2" Type="http://schemas.openxmlformats.org/officeDocument/2006/relationships/hyperlink" Target="#IDENTITAS!A1"/><Relationship Id="rId1" Type="http://schemas.openxmlformats.org/officeDocument/2006/relationships/image" Target="../media/image1.png"/><Relationship Id="rId6" Type="http://schemas.openxmlformats.org/officeDocument/2006/relationships/hyperlink" Target="#'ISI3'!A1"/><Relationship Id="rId11" Type="http://schemas.openxmlformats.org/officeDocument/2006/relationships/image" Target="../media/image2.png"/><Relationship Id="rId5" Type="http://schemas.openxmlformats.org/officeDocument/2006/relationships/hyperlink" Target="#'ISI2'!A1"/><Relationship Id="rId10" Type="http://schemas.openxmlformats.org/officeDocument/2006/relationships/hyperlink" Target="#PROFIL!A1"/><Relationship Id="rId4" Type="http://schemas.openxmlformats.org/officeDocument/2006/relationships/hyperlink" Target="#'ISI1'!A1"/><Relationship Id="rId9" Type="http://schemas.openxmlformats.org/officeDocument/2006/relationships/hyperlink" Target="#'DESKRIPSI PROYEK'!A1"/></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hyperlink" Target="#COVER!A1"/></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hyperlink" Target="#COVER!A1"/><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6.png"/><Relationship Id="rId1" Type="http://schemas.openxmlformats.org/officeDocument/2006/relationships/hyperlink" Target="#COVER!A1"/><Relationship Id="rId5" Type="http://schemas.openxmlformats.org/officeDocument/2006/relationships/image" Target="../media/image8.jpe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9.png"/><Relationship Id="rId1" Type="http://schemas.openxmlformats.org/officeDocument/2006/relationships/hyperlink" Target="#COVER!A1"/></Relationships>
</file>

<file path=xl/drawings/_rels/drawing6.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1!A1"/><Relationship Id="rId1" Type="http://schemas.openxmlformats.org/officeDocument/2006/relationships/hyperlink" Target="#PROYEK1!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hyperlink" Target="#'ISI1'!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3" Type="http://schemas.openxmlformats.org/officeDocument/2006/relationships/hyperlink" Target="#'ISI1'!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9.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6.png"/><Relationship Id="rId1" Type="http://schemas.openxmlformats.org/officeDocument/2006/relationships/hyperlink" Target="#COVER!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0.png"/><Relationship Id="rId1" Type="http://schemas.openxmlformats.org/officeDocument/2006/relationships/hyperlink" Target="#COVER!A1"/></Relationships>
</file>

<file path=xl/drawings/_rels/drawing11.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2!A1"/><Relationship Id="rId1" Type="http://schemas.openxmlformats.org/officeDocument/2006/relationships/hyperlink" Target="#PROYEK2!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hyperlink" Target="#'ISI2'!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3" Type="http://schemas.openxmlformats.org/officeDocument/2006/relationships/hyperlink" Target="#'ISI2'!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3!A1"/><Relationship Id="rId1" Type="http://schemas.openxmlformats.org/officeDocument/2006/relationships/hyperlink" Target="#PROYEK3!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hyperlink" Target="#'ISI3'!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16.xml.rels><?xml version="1.0" encoding="UTF-8" standalone="yes"?>
<Relationships xmlns="http://schemas.openxmlformats.org/package/2006/relationships"><Relationship Id="rId3" Type="http://schemas.openxmlformats.org/officeDocument/2006/relationships/hyperlink" Target="#'ISI3'!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17.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4!A1"/><Relationship Id="rId1" Type="http://schemas.openxmlformats.org/officeDocument/2006/relationships/hyperlink" Target="#PROYEK4!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18.xml.rels><?xml version="1.0" encoding="UTF-8" standalone="yes"?>
<Relationships xmlns="http://schemas.openxmlformats.org/package/2006/relationships"><Relationship Id="rId3" Type="http://schemas.openxmlformats.org/officeDocument/2006/relationships/hyperlink" Target="#'ISI4'!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19.xml.rels><?xml version="1.0" encoding="UTF-8" standalone="yes"?>
<Relationships xmlns="http://schemas.openxmlformats.org/package/2006/relationships"><Relationship Id="rId3" Type="http://schemas.openxmlformats.org/officeDocument/2006/relationships/hyperlink" Target="#'ISI4'!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20.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5!A1"/><Relationship Id="rId1" Type="http://schemas.openxmlformats.org/officeDocument/2006/relationships/hyperlink" Target="#PROYEK5!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hyperlink" Target="#'ISI5'!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22.xml.rels><?xml version="1.0" encoding="UTF-8" standalone="yes"?>
<Relationships xmlns="http://schemas.openxmlformats.org/package/2006/relationships"><Relationship Id="rId3" Type="http://schemas.openxmlformats.org/officeDocument/2006/relationships/hyperlink" Target="#'ISI5'!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23.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8.jpeg"/><Relationship Id="rId2" Type="http://schemas.openxmlformats.org/officeDocument/2006/relationships/hyperlink" Target="#PENILAIAN6!A1"/><Relationship Id="rId1" Type="http://schemas.openxmlformats.org/officeDocument/2006/relationships/hyperlink" Target="#PROYEK6!A1"/><Relationship Id="rId6" Type="http://schemas.openxmlformats.org/officeDocument/2006/relationships/image" Target="../media/image7.png"/><Relationship Id="rId5" Type="http://schemas.openxmlformats.org/officeDocument/2006/relationships/image" Target="../media/image4.jpeg"/><Relationship Id="rId4" Type="http://schemas.openxmlformats.org/officeDocument/2006/relationships/image" Target="../media/image6.png"/></Relationships>
</file>

<file path=xl/drawings/_rels/drawing24.xml.rels><?xml version="1.0" encoding="UTF-8" standalone="yes"?>
<Relationships xmlns="http://schemas.openxmlformats.org/package/2006/relationships"><Relationship Id="rId3" Type="http://schemas.openxmlformats.org/officeDocument/2006/relationships/hyperlink" Target="#'ISI6'!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_rels/drawing25.xml.rels><?xml version="1.0" encoding="UTF-8" standalone="yes"?>
<Relationships xmlns="http://schemas.openxmlformats.org/package/2006/relationships"><Relationship Id="rId3" Type="http://schemas.openxmlformats.org/officeDocument/2006/relationships/hyperlink" Target="#'ISI6'!A1"/><Relationship Id="rId2" Type="http://schemas.openxmlformats.org/officeDocument/2006/relationships/image" Target="../media/image6.png"/><Relationship Id="rId1" Type="http://schemas.openxmlformats.org/officeDocument/2006/relationships/hyperlink" Target="#COVER!A1"/><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11</xdr:col>
      <xdr:colOff>301303</xdr:colOff>
      <xdr:row>2</xdr:row>
      <xdr:rowOff>48597</xdr:rowOff>
    </xdr:from>
    <xdr:to>
      <xdr:col>13</xdr:col>
      <xdr:colOff>526051</xdr:colOff>
      <xdr:row>4</xdr:row>
      <xdr:rowOff>198046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628624" y="456811"/>
          <a:ext cx="1449391" cy="635419"/>
        </a:xfrm>
        <a:prstGeom prst="rect">
          <a:avLst/>
        </a:prstGeom>
      </xdr:spPr>
    </xdr:pic>
    <xdr:clientData/>
  </xdr:twoCellAnchor>
  <xdr:twoCellAnchor>
    <xdr:from>
      <xdr:col>2</xdr:col>
      <xdr:colOff>237871</xdr:colOff>
      <xdr:row>6</xdr:row>
      <xdr:rowOff>49121</xdr:rowOff>
    </xdr:from>
    <xdr:to>
      <xdr:col>4</xdr:col>
      <xdr:colOff>495689</xdr:colOff>
      <xdr:row>9</xdr:row>
      <xdr:rowOff>145148</xdr:rowOff>
    </xdr:to>
    <xdr:sp macro="" textlink="">
      <xdr:nvSpPr>
        <xdr:cNvPr id="4" name="Round Diagonal Corner Rectangle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1054300" y="1380677"/>
          <a:ext cx="1482460" cy="688910"/>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Identitas</a:t>
          </a:r>
          <a:r>
            <a:rPr lang="en-US" sz="1100" baseline="0">
              <a:latin typeface="Arial Black" panose="020B0A04020102020204" pitchFamily="34" charset="0"/>
            </a:rPr>
            <a:t> Sekolah</a:t>
          </a:r>
          <a:endParaRPr lang="en-US" sz="1100">
            <a:latin typeface="Arial Black" panose="020B0A04020102020204" pitchFamily="34" charset="0"/>
          </a:endParaRPr>
        </a:p>
      </xdr:txBody>
    </xdr:sp>
    <xdr:clientData/>
  </xdr:twoCellAnchor>
  <xdr:twoCellAnchor>
    <xdr:from>
      <xdr:col>2</xdr:col>
      <xdr:colOff>236182</xdr:colOff>
      <xdr:row>10</xdr:row>
      <xdr:rowOff>150083</xdr:rowOff>
    </xdr:from>
    <xdr:to>
      <xdr:col>4</xdr:col>
      <xdr:colOff>494000</xdr:colOff>
      <xdr:row>13</xdr:row>
      <xdr:rowOff>168355</xdr:rowOff>
    </xdr:to>
    <xdr:sp macro="" textlink="">
      <xdr:nvSpPr>
        <xdr:cNvPr id="5" name="Round Diagonal Corner Rectangle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1052611" y="2288348"/>
          <a:ext cx="1482460" cy="640313"/>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Data</a:t>
          </a:r>
          <a:r>
            <a:rPr lang="en-US" sz="1100" baseline="0">
              <a:latin typeface="Arial Black" panose="020B0A04020102020204" pitchFamily="34" charset="0"/>
            </a:rPr>
            <a:t> Siswa</a:t>
          </a:r>
          <a:endParaRPr lang="en-US" sz="1100">
            <a:latin typeface="Arial Black" panose="020B0A04020102020204" pitchFamily="34" charset="0"/>
          </a:endParaRPr>
        </a:p>
      </xdr:txBody>
    </xdr:sp>
    <xdr:clientData/>
  </xdr:twoCellAnchor>
  <xdr:twoCellAnchor>
    <xdr:from>
      <xdr:col>6</xdr:col>
      <xdr:colOff>173037</xdr:colOff>
      <xdr:row>6</xdr:row>
      <xdr:rowOff>74908</xdr:rowOff>
    </xdr:from>
    <xdr:to>
      <xdr:col>9</xdr:col>
      <xdr:colOff>155510</xdr:colOff>
      <xdr:row>8</xdr:row>
      <xdr:rowOff>135264</xdr:rowOff>
    </xdr:to>
    <xdr:sp macro="" textlink="">
      <xdr:nvSpPr>
        <xdr:cNvPr id="6" name="Round Diagonal Corner Rectangle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3438751" y="1406464"/>
          <a:ext cx="1819438" cy="449132"/>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Proyek</a:t>
          </a:r>
          <a:r>
            <a:rPr lang="en-US" sz="1100" baseline="0">
              <a:latin typeface="Arial Black" panose="020B0A04020102020204" pitchFamily="34" charset="0"/>
            </a:rPr>
            <a:t> 1</a:t>
          </a:r>
          <a:endParaRPr lang="en-US" sz="1100">
            <a:latin typeface="Arial Black" panose="020B0A04020102020204" pitchFamily="34" charset="0"/>
          </a:endParaRPr>
        </a:p>
      </xdr:txBody>
    </xdr:sp>
    <xdr:clientData/>
  </xdr:twoCellAnchor>
  <xdr:twoCellAnchor>
    <xdr:from>
      <xdr:col>6</xdr:col>
      <xdr:colOff>163706</xdr:colOff>
      <xdr:row>9</xdr:row>
      <xdr:rowOff>97194</xdr:rowOff>
    </xdr:from>
    <xdr:to>
      <xdr:col>9</xdr:col>
      <xdr:colOff>146179</xdr:colOff>
      <xdr:row>11</xdr:row>
      <xdr:rowOff>137373</xdr:rowOff>
    </xdr:to>
    <xdr:sp macro="" textlink="">
      <xdr:nvSpPr>
        <xdr:cNvPr id="7" name="Round Diagonal Corner Rectangle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3429420" y="2021633"/>
          <a:ext cx="1819438" cy="467832"/>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Arial Black" panose="020B0A04020102020204" pitchFamily="34" charset="0"/>
              <a:ea typeface="+mn-ea"/>
              <a:cs typeface="+mn-cs"/>
            </a:rPr>
            <a:t>Proyek</a:t>
          </a:r>
          <a:r>
            <a:rPr lang="en-US" sz="1100" b="1" baseline="0">
              <a:solidFill>
                <a:schemeClr val="lt1"/>
              </a:solidFill>
              <a:effectLst/>
              <a:latin typeface="Arial Black" panose="020B0A04020102020204" pitchFamily="34" charset="0"/>
              <a:ea typeface="+mn-ea"/>
              <a:cs typeface="+mn-cs"/>
            </a:rPr>
            <a:t> 2</a:t>
          </a:r>
          <a:endParaRPr lang="en-US" b="1">
            <a:effectLst/>
            <a:latin typeface="Arial Black" panose="020B0A04020102020204" pitchFamily="34" charset="0"/>
          </a:endParaRPr>
        </a:p>
      </xdr:txBody>
    </xdr:sp>
    <xdr:clientData/>
  </xdr:twoCellAnchor>
  <xdr:twoCellAnchor>
    <xdr:from>
      <xdr:col>6</xdr:col>
      <xdr:colOff>173064</xdr:colOff>
      <xdr:row>12</xdr:row>
      <xdr:rowOff>95411</xdr:rowOff>
    </xdr:from>
    <xdr:to>
      <xdr:col>9</xdr:col>
      <xdr:colOff>155537</xdr:colOff>
      <xdr:row>14</xdr:row>
      <xdr:rowOff>149051</xdr:rowOff>
    </xdr:to>
    <xdr:sp macro="" textlink="">
      <xdr:nvSpPr>
        <xdr:cNvPr id="8" name="Round Diagonal Corner Rectangle 7">
          <a:hlinkClick xmlns:r="http://schemas.openxmlformats.org/officeDocument/2006/relationships" r:id="rId6"/>
          <a:extLst>
            <a:ext uri="{FF2B5EF4-FFF2-40B4-BE49-F238E27FC236}">
              <a16:creationId xmlns:a16="http://schemas.microsoft.com/office/drawing/2014/main" id="{00000000-0008-0000-0000-000008000000}"/>
            </a:ext>
          </a:extLst>
        </xdr:cNvPr>
        <xdr:cNvSpPr/>
      </xdr:nvSpPr>
      <xdr:spPr>
        <a:xfrm>
          <a:off x="3438778" y="2661329"/>
          <a:ext cx="1819438" cy="442416"/>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Proyek</a:t>
          </a:r>
          <a:r>
            <a:rPr lang="en-US" sz="1100" b="1" baseline="0">
              <a:latin typeface="Arial Black" panose="020B0A04020102020204" pitchFamily="34" charset="0"/>
            </a:rPr>
            <a:t> 3</a:t>
          </a:r>
          <a:endParaRPr lang="en-US" sz="1100" b="1">
            <a:latin typeface="Arial Black" panose="020B0A04020102020204" pitchFamily="34" charset="0"/>
          </a:endParaRPr>
        </a:p>
      </xdr:txBody>
    </xdr:sp>
    <xdr:clientData/>
  </xdr:twoCellAnchor>
  <xdr:twoCellAnchor>
    <xdr:from>
      <xdr:col>6</xdr:col>
      <xdr:colOff>159264</xdr:colOff>
      <xdr:row>15</xdr:row>
      <xdr:rowOff>157618</xdr:rowOff>
    </xdr:from>
    <xdr:to>
      <xdr:col>9</xdr:col>
      <xdr:colOff>145790</xdr:colOff>
      <xdr:row>18</xdr:row>
      <xdr:rowOff>19439</xdr:rowOff>
    </xdr:to>
    <xdr:sp macro="" textlink="">
      <xdr:nvSpPr>
        <xdr:cNvPr id="9" name="Round Diagonal Corner Rectangle 8">
          <a:hlinkClick xmlns:r="http://schemas.openxmlformats.org/officeDocument/2006/relationships" r:id="rId7"/>
          <a:extLst>
            <a:ext uri="{FF2B5EF4-FFF2-40B4-BE49-F238E27FC236}">
              <a16:creationId xmlns:a16="http://schemas.microsoft.com/office/drawing/2014/main" id="{00000000-0008-0000-0000-000009000000}"/>
            </a:ext>
          </a:extLst>
        </xdr:cNvPr>
        <xdr:cNvSpPr/>
      </xdr:nvSpPr>
      <xdr:spPr>
        <a:xfrm>
          <a:off x="3424978" y="3306700"/>
          <a:ext cx="1823491" cy="444984"/>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Catatan</a:t>
          </a:r>
          <a:r>
            <a:rPr lang="en-US" sz="1100" b="1" baseline="0">
              <a:latin typeface="Arial Black" panose="020B0A04020102020204" pitchFamily="34" charset="0"/>
            </a:rPr>
            <a:t> Proses</a:t>
          </a:r>
          <a:endParaRPr lang="en-US" sz="1100" b="1">
            <a:latin typeface="Arial Black" panose="020B0A04020102020204" pitchFamily="34" charset="0"/>
          </a:endParaRPr>
        </a:p>
      </xdr:txBody>
    </xdr:sp>
    <xdr:clientData/>
  </xdr:twoCellAnchor>
  <xdr:twoCellAnchor>
    <xdr:from>
      <xdr:col>10</xdr:col>
      <xdr:colOff>298086</xdr:colOff>
      <xdr:row>7</xdr:row>
      <xdr:rowOff>180542</xdr:rowOff>
    </xdr:from>
    <xdr:to>
      <xdr:col>12</xdr:col>
      <xdr:colOff>505408</xdr:colOff>
      <xdr:row>11</xdr:row>
      <xdr:rowOff>43305</xdr:rowOff>
    </xdr:to>
    <xdr:sp macro="" textlink="">
      <xdr:nvSpPr>
        <xdr:cNvPr id="12" name="Round Diagonal Corner Rectangle 11">
          <a:hlinkClick xmlns:r="http://schemas.openxmlformats.org/officeDocument/2006/relationships" r:id="rId8"/>
          <a:extLst>
            <a:ext uri="{FF2B5EF4-FFF2-40B4-BE49-F238E27FC236}">
              <a16:creationId xmlns:a16="http://schemas.microsoft.com/office/drawing/2014/main" id="{00000000-0008-0000-0000-00000C000000}"/>
            </a:ext>
          </a:extLst>
        </xdr:cNvPr>
        <xdr:cNvSpPr/>
      </xdr:nvSpPr>
      <xdr:spPr>
        <a:xfrm>
          <a:off x="6013086" y="1706486"/>
          <a:ext cx="1431965" cy="688911"/>
        </a:xfrm>
        <a:prstGeom prst="round2DiagRect">
          <a:avLst/>
        </a:prstGeom>
        <a:solidFill>
          <a:schemeClr val="accent2"/>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Rapor Proyek</a:t>
          </a:r>
        </a:p>
      </xdr:txBody>
    </xdr:sp>
    <xdr:clientData/>
  </xdr:twoCellAnchor>
  <xdr:twoCellAnchor>
    <xdr:from>
      <xdr:col>2</xdr:col>
      <xdr:colOff>213633</xdr:colOff>
      <xdr:row>15</xdr:row>
      <xdr:rowOff>20621</xdr:rowOff>
    </xdr:from>
    <xdr:to>
      <xdr:col>4</xdr:col>
      <xdr:colOff>471451</xdr:colOff>
      <xdr:row>18</xdr:row>
      <xdr:rowOff>77771</xdr:rowOff>
    </xdr:to>
    <xdr:sp macro="" textlink="">
      <xdr:nvSpPr>
        <xdr:cNvPr id="14" name="Round Diagonal Corner Rectangle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1030062" y="3169703"/>
          <a:ext cx="1482460" cy="659752"/>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Deskripsi</a:t>
          </a:r>
          <a:r>
            <a:rPr lang="en-US" sz="1100" baseline="0">
              <a:latin typeface="Arial Black" panose="020B0A04020102020204" pitchFamily="34" charset="0"/>
            </a:rPr>
            <a:t> Proyek</a:t>
          </a:r>
          <a:endParaRPr lang="en-US" sz="1100">
            <a:latin typeface="Arial Black" panose="020B0A04020102020204" pitchFamily="34" charset="0"/>
          </a:endParaRPr>
        </a:p>
      </xdr:txBody>
    </xdr:sp>
    <xdr:clientData/>
  </xdr:twoCellAnchor>
  <xdr:twoCellAnchor>
    <xdr:from>
      <xdr:col>10</xdr:col>
      <xdr:colOff>262423</xdr:colOff>
      <xdr:row>12</xdr:row>
      <xdr:rowOff>97194</xdr:rowOff>
    </xdr:from>
    <xdr:to>
      <xdr:col>12</xdr:col>
      <xdr:colOff>469745</xdr:colOff>
      <xdr:row>16</xdr:row>
      <xdr:rowOff>8554</xdr:rowOff>
    </xdr:to>
    <xdr:sp macro="" textlink="">
      <xdr:nvSpPr>
        <xdr:cNvPr id="15" name="Round Diagonal Corner Rectangle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5977423" y="2663112"/>
          <a:ext cx="1431965" cy="688911"/>
        </a:xfrm>
        <a:prstGeom prst="round2DiagRect">
          <a:avLst/>
        </a:prstGeom>
        <a:solidFill>
          <a:schemeClr val="accent2"/>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Profil</a:t>
          </a:r>
          <a:r>
            <a:rPr lang="en-US" sz="1100" b="1" baseline="0">
              <a:latin typeface="Arial Black" panose="020B0A04020102020204" pitchFamily="34" charset="0"/>
            </a:rPr>
            <a:t> Pengembang</a:t>
          </a:r>
          <a:endParaRPr lang="en-US" sz="1100" b="1">
            <a:latin typeface="Arial Black" panose="020B0A04020102020204" pitchFamily="34" charset="0"/>
          </a:endParaRPr>
        </a:p>
      </xdr:txBody>
    </xdr:sp>
    <xdr:clientData/>
  </xdr:twoCellAnchor>
  <xdr:twoCellAnchor editAs="oneCell">
    <xdr:from>
      <xdr:col>1</xdr:col>
      <xdr:colOff>314739</xdr:colOff>
      <xdr:row>1</xdr:row>
      <xdr:rowOff>132521</xdr:rowOff>
    </xdr:from>
    <xdr:to>
      <xdr:col>2</xdr:col>
      <xdr:colOff>513521</xdr:colOff>
      <xdr:row>5</xdr:row>
      <xdr:rowOff>27105</xdr:rowOff>
    </xdr:to>
    <xdr:pic>
      <xdr:nvPicPr>
        <xdr:cNvPr id="11" name="Picture 10">
          <a:extLst>
            <a:ext uri="{FF2B5EF4-FFF2-40B4-BE49-F238E27FC236}">
              <a16:creationId xmlns:a16="http://schemas.microsoft.com/office/drawing/2014/main" id="{D95B70DD-3B16-B2D1-157F-801B766C1C2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13522" y="331304"/>
          <a:ext cx="811695" cy="8139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152400</xdr:colOff>
      <xdr:row>1</xdr:row>
      <xdr:rowOff>142875</xdr:rowOff>
    </xdr:from>
    <xdr:to>
      <xdr:col>2</xdr:col>
      <xdr:colOff>109812</xdr:colOff>
      <xdr:row>4</xdr:row>
      <xdr:rowOff>65985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0" y="333375"/>
          <a:ext cx="567012" cy="5708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32595</xdr:colOff>
      <xdr:row>1</xdr:row>
      <xdr:rowOff>180462</xdr:rowOff>
    </xdr:from>
    <xdr:to>
      <xdr:col>13</xdr:col>
      <xdr:colOff>556164</xdr:colOff>
      <xdr:row>4</xdr:row>
      <xdr:rowOff>56795</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6395" y="370962"/>
          <a:ext cx="523569" cy="524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113429</xdr:colOff>
      <xdr:row>1</xdr:row>
      <xdr:rowOff>47094</xdr:rowOff>
    </xdr:from>
    <xdr:to>
      <xdr:col>13</xdr:col>
      <xdr:colOff>123828</xdr:colOff>
      <xdr:row>14</xdr:row>
      <xdr:rowOff>183057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a:off x="5094135" y="952838"/>
          <a:ext cx="3269688" cy="1839199"/>
        </a:xfrm>
        <a:prstGeom prst="ellipse">
          <a:avLst/>
        </a:prstGeom>
        <a:ln>
          <a:noFill/>
        </a:ln>
        <a:effectLst>
          <a:softEdge rad="112500"/>
        </a:effectLst>
      </xdr:spPr>
    </xdr:pic>
    <xdr:clientData/>
  </xdr:twoCellAnchor>
  <xdr:twoCellAnchor editAs="oneCell">
    <xdr:from>
      <xdr:col>13</xdr:col>
      <xdr:colOff>57150</xdr:colOff>
      <xdr:row>1</xdr:row>
      <xdr:rowOff>47625</xdr:rowOff>
    </xdr:from>
    <xdr:to>
      <xdr:col>13</xdr:col>
      <xdr:colOff>580719</xdr:colOff>
      <xdr:row>3</xdr:row>
      <xdr:rowOff>104933</xdr:rowOff>
    </xdr:to>
    <xdr:pic>
      <xdr:nvPicPr>
        <xdr:cNvPr id="4" name="Picture 3" descr="Back Arrow Icon Special Red Round Button Stock Illustration - Illustration  of icon, back: 102221714">
          <a:hlinkClick xmlns:r="http://schemas.openxmlformats.org/officeDocument/2006/relationships" r:id="rId2"/>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81900" y="238125"/>
          <a:ext cx="523569" cy="524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112662</xdr:colOff>
      <xdr:row>0</xdr:row>
      <xdr:rowOff>20485</xdr:rowOff>
    </xdr:from>
    <xdr:to>
      <xdr:col>1</xdr:col>
      <xdr:colOff>69646</xdr:colOff>
      <xdr:row>2</xdr:row>
      <xdr:rowOff>131098</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2662" y="20485"/>
          <a:ext cx="566584" cy="5692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449415</xdr:colOff>
      <xdr:row>0</xdr:row>
      <xdr:rowOff>29497</xdr:rowOff>
    </xdr:from>
    <xdr:to>
      <xdr:col>8</xdr:col>
      <xdr:colOff>972984</xdr:colOff>
      <xdr:row>2</xdr:row>
      <xdr:rowOff>93333</xdr:rowOff>
    </xdr:to>
    <xdr:pic>
      <xdr:nvPicPr>
        <xdr:cNvPr id="5" name="Picture 4"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25060" y="29497"/>
          <a:ext cx="523569" cy="524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112663</xdr:colOff>
      <xdr:row>18</xdr:row>
      <xdr:rowOff>153631</xdr:rowOff>
    </xdr:from>
    <xdr:ext cx="225322" cy="225322"/>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180837" y="4124165"/>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102419</xdr:colOff>
      <xdr:row>20</xdr:row>
      <xdr:rowOff>0</xdr:rowOff>
    </xdr:from>
    <xdr:ext cx="215081" cy="215555"/>
    <xdr:pic>
      <xdr:nvPicPr>
        <xdr:cNvPr id="9" name="Picture 8" descr="Back Arrow Icon Special Red Round Button Stock Illustration - Illustration  of icon, back: 10222171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170593" y="4345112"/>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42369</xdr:colOff>
      <xdr:row>0</xdr:row>
      <xdr:rowOff>0</xdr:rowOff>
    </xdr:from>
    <xdr:ext cx="592631" cy="592631"/>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69" y="0"/>
          <a:ext cx="592631" cy="592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10</xdr:col>
      <xdr:colOff>109482</xdr:colOff>
      <xdr:row>0</xdr:row>
      <xdr:rowOff>10948</xdr:rowOff>
    </xdr:from>
    <xdr:to>
      <xdr:col>11</xdr:col>
      <xdr:colOff>392838</xdr:colOff>
      <xdr:row>2</xdr:row>
      <xdr:rowOff>186121</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207107" y="10948"/>
          <a:ext cx="588155" cy="5928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04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242131" y="230605"/>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0700-000004000000}"/>
            </a:ext>
          </a:extLst>
        </xdr:cNvPr>
        <xdr:cNvSpPr/>
      </xdr:nvSpPr>
      <xdr:spPr>
        <a:xfrm>
          <a:off x="6316578" y="872289"/>
          <a:ext cx="1564106" cy="1052764"/>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28575</xdr:colOff>
      <xdr:row>1</xdr:row>
      <xdr:rowOff>152400</xdr:rowOff>
    </xdr:from>
    <xdr:to>
      <xdr:col>2</xdr:col>
      <xdr:colOff>161925</xdr:colOff>
      <xdr:row>4</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7175" y="34290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2147135</xdr:colOff>
      <xdr:row>1</xdr:row>
      <xdr:rowOff>183481</xdr:rowOff>
    </xdr:from>
    <xdr:to>
      <xdr:col>7</xdr:col>
      <xdr:colOff>203392</xdr:colOff>
      <xdr:row>4</xdr:row>
      <xdr:rowOff>12688</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957760" y="373981"/>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xdr:colOff>
          <xdr:row>1</xdr:row>
          <xdr:rowOff>114300</xdr:rowOff>
        </xdr:from>
        <xdr:to>
          <xdr:col>13</xdr:col>
          <xdr:colOff>314325</xdr:colOff>
          <xdr:row>3</xdr:row>
          <xdr:rowOff>123825</xdr:rowOff>
        </xdr:to>
        <xdr:sp macro="" textlink="">
          <xdr:nvSpPr>
            <xdr:cNvPr id="25601" name="Spinner 1" hidden="1">
              <a:extLst>
                <a:ext uri="{63B3BB69-23CF-44E3-9099-C40C66FF867C}">
                  <a14:compatExt spid="_x0000_s25601"/>
                </a:ext>
                <a:ext uri="{FF2B5EF4-FFF2-40B4-BE49-F238E27FC236}">
                  <a16:creationId xmlns:a16="http://schemas.microsoft.com/office/drawing/2014/main" id="{00000000-0008-0000-1200-000001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600075</xdr:colOff>
          <xdr:row>51</xdr:row>
          <xdr:rowOff>123825</xdr:rowOff>
        </xdr:from>
        <xdr:to>
          <xdr:col>13</xdr:col>
          <xdr:colOff>295275</xdr:colOff>
          <xdr:row>53</xdr:row>
          <xdr:rowOff>28575</xdr:rowOff>
        </xdr:to>
        <xdr:sp macro="" textlink="">
          <xdr:nvSpPr>
            <xdr:cNvPr id="25602" name="Spinner 2" hidden="1">
              <a:extLst>
                <a:ext uri="{63B3BB69-23CF-44E3-9099-C40C66FF867C}">
                  <a14:compatExt spid="_x0000_s25602"/>
                </a:ext>
                <a:ext uri="{FF2B5EF4-FFF2-40B4-BE49-F238E27FC236}">
                  <a16:creationId xmlns:a16="http://schemas.microsoft.com/office/drawing/2014/main" id="{00000000-0008-0000-1200-000002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101</xdr:row>
          <xdr:rowOff>85725</xdr:rowOff>
        </xdr:from>
        <xdr:to>
          <xdr:col>13</xdr:col>
          <xdr:colOff>323850</xdr:colOff>
          <xdr:row>103</xdr:row>
          <xdr:rowOff>133350</xdr:rowOff>
        </xdr:to>
        <xdr:sp macro="" textlink="">
          <xdr:nvSpPr>
            <xdr:cNvPr id="25603" name="Spinner 3" hidden="1">
              <a:extLst>
                <a:ext uri="{63B3BB69-23CF-44E3-9099-C40C66FF867C}">
                  <a14:compatExt spid="_x0000_s25603"/>
                </a:ext>
                <a:ext uri="{FF2B5EF4-FFF2-40B4-BE49-F238E27FC236}">
                  <a16:creationId xmlns:a16="http://schemas.microsoft.com/office/drawing/2014/main" id="{00000000-0008-0000-1200-000003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151</xdr:row>
          <xdr:rowOff>76200</xdr:rowOff>
        </xdr:from>
        <xdr:to>
          <xdr:col>13</xdr:col>
          <xdr:colOff>266700</xdr:colOff>
          <xdr:row>153</xdr:row>
          <xdr:rowOff>123825</xdr:rowOff>
        </xdr:to>
        <xdr:sp macro="" textlink="">
          <xdr:nvSpPr>
            <xdr:cNvPr id="25604" name="Spinner 4" hidden="1">
              <a:extLst>
                <a:ext uri="{63B3BB69-23CF-44E3-9099-C40C66FF867C}">
                  <a14:compatExt spid="_x0000_s25604"/>
                </a:ext>
                <a:ext uri="{FF2B5EF4-FFF2-40B4-BE49-F238E27FC236}">
                  <a16:creationId xmlns:a16="http://schemas.microsoft.com/office/drawing/2014/main" id="{00000000-0008-0000-1200-000004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190500</xdr:colOff>
      <xdr:row>4</xdr:row>
      <xdr:rowOff>133350</xdr:rowOff>
    </xdr:from>
    <xdr:to>
      <xdr:col>14</xdr:col>
      <xdr:colOff>438150</xdr:colOff>
      <xdr:row>6</xdr:row>
      <xdr:rowOff>190500</xdr:rowOff>
    </xdr:to>
    <xdr:sp macro="[0]!PrintPreview" textlink="">
      <xdr:nvSpPr>
        <xdr:cNvPr id="2" name="Rounded Rectangle 1">
          <a:extLst>
            <a:ext uri="{FF2B5EF4-FFF2-40B4-BE49-F238E27FC236}">
              <a16:creationId xmlns:a16="http://schemas.microsoft.com/office/drawing/2014/main" id="{00000000-0008-0000-1200-000002000000}"/>
            </a:ext>
          </a:extLst>
        </xdr:cNvPr>
        <xdr:cNvSpPr/>
      </xdr:nvSpPr>
      <xdr:spPr>
        <a:xfrm>
          <a:off x="6410325" y="971550"/>
          <a:ext cx="1466850" cy="438150"/>
        </a:xfrm>
        <a:prstGeom prst="roundRect">
          <a:avLst/>
        </a:prstGeom>
        <a:solidFill>
          <a:srgbClr val="FF0000"/>
        </a:solidFill>
        <a:ln w="38100">
          <a:solidFill>
            <a:schemeClr val="bg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Print</a:t>
          </a:r>
          <a:r>
            <a:rPr lang="en-US" sz="1100" b="1" baseline="0">
              <a:latin typeface="Arial" panose="020B0604020202020204" pitchFamily="34" charset="0"/>
              <a:cs typeface="Arial" panose="020B0604020202020204" pitchFamily="34" charset="0"/>
            </a:rPr>
            <a:t> Preview</a:t>
          </a:r>
          <a:endParaRPr lang="en-US" sz="1100" b="1">
            <a:latin typeface="Arial" panose="020B0604020202020204" pitchFamily="34" charset="0"/>
            <a:cs typeface="Arial" panose="020B0604020202020204" pitchFamily="34" charset="0"/>
          </a:endParaRPr>
        </a:p>
      </xdr:txBody>
    </xdr:sp>
    <xdr:clientData/>
  </xdr:twoCellAnchor>
  <xdr:twoCellAnchor>
    <xdr:from>
      <xdr:col>12</xdr:col>
      <xdr:colOff>190500</xdr:colOff>
      <xdr:row>7</xdr:row>
      <xdr:rowOff>123825</xdr:rowOff>
    </xdr:from>
    <xdr:to>
      <xdr:col>14</xdr:col>
      <xdr:colOff>438150</xdr:colOff>
      <xdr:row>9</xdr:row>
      <xdr:rowOff>142875</xdr:rowOff>
    </xdr:to>
    <xdr:sp macro="[0]!PrintOut" textlink="">
      <xdr:nvSpPr>
        <xdr:cNvPr id="9" name="Rounded Rectangle 8">
          <a:extLst>
            <a:ext uri="{FF2B5EF4-FFF2-40B4-BE49-F238E27FC236}">
              <a16:creationId xmlns:a16="http://schemas.microsoft.com/office/drawing/2014/main" id="{00000000-0008-0000-1200-000009000000}"/>
            </a:ext>
          </a:extLst>
        </xdr:cNvPr>
        <xdr:cNvSpPr/>
      </xdr:nvSpPr>
      <xdr:spPr>
        <a:xfrm>
          <a:off x="6410325" y="1552575"/>
          <a:ext cx="1466850" cy="438150"/>
        </a:xfrm>
        <a:prstGeom prst="roundRect">
          <a:avLst/>
        </a:prstGeom>
        <a:solidFill>
          <a:srgbClr val="FF0000"/>
        </a:solidFill>
        <a:ln w="38100">
          <a:solidFill>
            <a:schemeClr val="bg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Print</a:t>
          </a:r>
          <a:r>
            <a:rPr lang="en-US" sz="1100" b="1" baseline="0">
              <a:latin typeface="Arial" panose="020B0604020202020204" pitchFamily="34" charset="0"/>
              <a:cs typeface="Arial" panose="020B0604020202020204" pitchFamily="34" charset="0"/>
            </a:rPr>
            <a:t> Out</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13</xdr:col>
      <xdr:colOff>400050</xdr:colOff>
      <xdr:row>1</xdr:row>
      <xdr:rowOff>0</xdr:rowOff>
    </xdr:from>
    <xdr:to>
      <xdr:col>14</xdr:col>
      <xdr:colOff>430585</xdr:colOff>
      <xdr:row>3</xdr:row>
      <xdr:rowOff>221035</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7229475" y="190500"/>
          <a:ext cx="640135" cy="640135"/>
        </a:xfrm>
        <a:prstGeom prst="rect">
          <a:avLst/>
        </a:prstGeom>
      </xdr:spPr>
    </xdr:pic>
    <xdr:clientData/>
  </xdr:twoCellAnchor>
  <xdr:twoCellAnchor editAs="oneCell">
    <xdr:from>
      <xdr:col>1</xdr:col>
      <xdr:colOff>381000</xdr:colOff>
      <xdr:row>1</xdr:row>
      <xdr:rowOff>47625</xdr:rowOff>
    </xdr:from>
    <xdr:to>
      <xdr:col>2</xdr:col>
      <xdr:colOff>611670</xdr:colOff>
      <xdr:row>5</xdr:row>
      <xdr:rowOff>23378</xdr:rowOff>
    </xdr:to>
    <xdr:pic>
      <xdr:nvPicPr>
        <xdr:cNvPr id="6" name="Picture 5">
          <a:extLst>
            <a:ext uri="{FF2B5EF4-FFF2-40B4-BE49-F238E27FC236}">
              <a16:creationId xmlns:a16="http://schemas.microsoft.com/office/drawing/2014/main" id="{E612A16A-92AF-40FC-B92B-F728C6BF9FA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0550" y="238125"/>
          <a:ext cx="811695" cy="81395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1500-000004000000}"/>
            </a:ext>
          </a:extLst>
        </xdr:cNvPr>
        <xdr:cNvSpPr/>
      </xdr:nvSpPr>
      <xdr:spPr>
        <a:xfrm>
          <a:off x="6335628" y="885323"/>
          <a:ext cx="1581652" cy="1152526"/>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5.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1800-000004000000}"/>
            </a:ext>
          </a:extLst>
        </xdr:cNvPr>
        <xdr:cNvSpPr/>
      </xdr:nvSpPr>
      <xdr:spPr>
        <a:xfrm>
          <a:off x="6335628" y="885323"/>
          <a:ext cx="1581652" cy="1152526"/>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C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F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F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21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1.%20ICHE\2.%20KURIKULUM%202013%20revisi\PENILAIAN%202016-2017%20SMT%20II\raport%20k13%20semester%202%20Kelas%204%20Smt%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TASI"/>
      <sheetName val="KESEHATAN"/>
      <sheetName val="ESKUL"/>
      <sheetName val="DATA SISWA"/>
      <sheetName val="IDENTITAS"/>
      <sheetName val="MENU"/>
      <sheetName val="About"/>
      <sheetName val="HELP"/>
      <sheetName val="HOME"/>
      <sheetName val="K1-GAB"/>
      <sheetName val="K1-PKN"/>
      <sheetName val="K2 GAB"/>
      <sheetName val="K2-PKN"/>
      <sheetName val="K2-PAI"/>
      <sheetName val="K1-PAI"/>
      <sheetName val="K3-SBDP"/>
      <sheetName val="R3-SBDP"/>
      <sheetName val="K3-PKN"/>
      <sheetName val="R3-PKN"/>
      <sheetName val="K3-IPS"/>
      <sheetName val="R3-IPS"/>
      <sheetName val="K3-IPA"/>
      <sheetName val="R3-IPA"/>
      <sheetName val="K3-MTK"/>
      <sheetName val="R3-MTK"/>
      <sheetName val="K3-PAI"/>
      <sheetName val="R3-PAI"/>
      <sheetName val="K3-PJOK"/>
      <sheetName val="R3-PJOK"/>
      <sheetName val="K3-MLK3"/>
      <sheetName val="R3-MLK3"/>
      <sheetName val="K3-MLK2"/>
      <sheetName val="R3-MLK2"/>
      <sheetName val="K3-BJW"/>
      <sheetName val="R3-BJW"/>
      <sheetName val="K3-BINA"/>
      <sheetName val="R3-Bina"/>
      <sheetName val="REKAP"/>
      <sheetName val="K4-SBDP"/>
      <sheetName val="R4-SBDP"/>
      <sheetName val="K4-IPS"/>
      <sheetName val="R4-IPS"/>
      <sheetName val="K4-PKN"/>
      <sheetName val="R4-PKN"/>
      <sheetName val="K4-PJOK"/>
      <sheetName val="R4-PJOK"/>
      <sheetName val="K4-IPA"/>
      <sheetName val="R4-IPA"/>
      <sheetName val="K4-BINA"/>
      <sheetName val="R4-BINA"/>
      <sheetName val="R4-MTK"/>
      <sheetName val="K4-MTK"/>
      <sheetName val="K4-PAI"/>
      <sheetName val="R4-PAI"/>
      <sheetName val="K4-MLK3"/>
      <sheetName val="R4-MLK3"/>
      <sheetName val="K4-MLK2"/>
      <sheetName val="R4-MLK2"/>
      <sheetName val="K4-BJW"/>
      <sheetName val="R4-BJW"/>
      <sheetName val="PETA MULOK"/>
      <sheetName val="PETA 3"/>
      <sheetName val="PETA 4"/>
      <sheetName val="PETA 2"/>
      <sheetName val="PETA 1"/>
      <sheetName val="Belakang smt 2"/>
      <sheetName val="PINDAH"/>
      <sheetName val="Belakang smt 1"/>
      <sheetName val="RAPORT"/>
    </sheetNames>
    <sheetDataSet>
      <sheetData sheetId="0"/>
      <sheetData sheetId="1"/>
      <sheetData sheetId="2"/>
      <sheetData sheetId="3">
        <row r="7">
          <cell r="B7">
            <v>1</v>
          </cell>
          <cell r="C7" t="str">
            <v>AZKA AFINA KHOIRUL IZA</v>
          </cell>
          <cell r="D7" t="str">
            <v>0075306898</v>
          </cell>
          <cell r="E7">
            <v>0</v>
          </cell>
          <cell r="F7" t="str">
            <v>BLORA</v>
          </cell>
          <cell r="G7">
            <v>39319</v>
          </cell>
          <cell r="H7" t="str">
            <v>Blora, 25 Agustus 2007</v>
          </cell>
          <cell r="I7" t="str">
            <v>Islam</v>
          </cell>
          <cell r="J7" t="str">
            <v>TK</v>
          </cell>
          <cell r="K7">
            <v>0</v>
          </cell>
          <cell r="L7" t="str">
            <v>BARNO BUDI S</v>
          </cell>
          <cell r="M7" t="str">
            <v>WATINI</v>
          </cell>
          <cell r="N7" t="str">
            <v>Wiraswasta</v>
          </cell>
          <cell r="O7" t="str">
            <v>Wiraswasta</v>
          </cell>
          <cell r="P7">
            <v>0</v>
          </cell>
          <cell r="Q7" t="str">
            <v>BUNGUR</v>
          </cell>
          <cell r="R7" t="str">
            <v>TULAKAN</v>
          </cell>
          <cell r="S7" t="str">
            <v>PACITAN</v>
          </cell>
          <cell r="T7" t="str">
            <v>JAWA TIMUR</v>
          </cell>
          <cell r="U7">
            <v>0</v>
          </cell>
          <cell r="V7">
            <v>0</v>
          </cell>
          <cell r="W7">
            <v>0</v>
          </cell>
        </row>
        <row r="8">
          <cell r="B8">
            <v>2</v>
          </cell>
          <cell r="C8" t="str">
            <v>BAGUS WIDA KANAKA</v>
          </cell>
          <cell r="D8" t="str">
            <v>0066693749</v>
          </cell>
          <cell r="E8">
            <v>0</v>
          </cell>
          <cell r="F8" t="str">
            <v>PACITAN</v>
          </cell>
          <cell r="G8">
            <v>38954</v>
          </cell>
          <cell r="H8" t="str">
            <v>Pacitan, 25 Agustus 2006</v>
          </cell>
          <cell r="I8" t="str">
            <v>Islam</v>
          </cell>
          <cell r="J8">
            <v>0</v>
          </cell>
          <cell r="K8" t="str">
            <v>RT. 4 RW. 1 KRAJAN, Desa BUNGUR</v>
          </cell>
          <cell r="L8" t="str">
            <v>SUBAGYO</v>
          </cell>
          <cell r="M8" t="str">
            <v>SUPRAPTI</v>
          </cell>
          <cell r="N8" t="str">
            <v>Wiraswasta</v>
          </cell>
          <cell r="O8" t="str">
            <v>Wiraswasta</v>
          </cell>
          <cell r="P8" t="str">
            <v>RT. 4 RW. 1 KRAJAN, Desa BUNGUR</v>
          </cell>
          <cell r="Q8" t="str">
            <v>BUNGUR</v>
          </cell>
          <cell r="R8" t="str">
            <v>TULAKAN</v>
          </cell>
          <cell r="S8" t="str">
            <v>PACITAN</v>
          </cell>
          <cell r="T8" t="str">
            <v>JAWA TIMUR</v>
          </cell>
          <cell r="U8">
            <v>0</v>
          </cell>
          <cell r="V8">
            <v>0</v>
          </cell>
          <cell r="W8">
            <v>0</v>
          </cell>
        </row>
        <row r="9">
          <cell r="B9">
            <v>3</v>
          </cell>
          <cell r="C9" t="str">
            <v>DENI FIRYA ATHALLAH PRADINAYA</v>
          </cell>
          <cell r="D9" t="str">
            <v>0065059222</v>
          </cell>
          <cell r="E9">
            <v>0</v>
          </cell>
          <cell r="F9" t="str">
            <v>PACITAN</v>
          </cell>
          <cell r="G9">
            <v>39042</v>
          </cell>
          <cell r="H9" t="str">
            <v>Pacitan, 21 November 2006</v>
          </cell>
          <cell r="I9" t="str">
            <v>Islam</v>
          </cell>
          <cell r="J9">
            <v>0</v>
          </cell>
          <cell r="K9" t="str">
            <v>RT. 1 RW. 3 DLOPO, Desa TULAKAN</v>
          </cell>
          <cell r="L9" t="str">
            <v>HADI SUYONO</v>
          </cell>
          <cell r="M9" t="str">
            <v>YAYUK W LESTARI</v>
          </cell>
          <cell r="N9" t="str">
            <v>PNS/TNI/Polri</v>
          </cell>
          <cell r="O9" t="str">
            <v>Wiraswasta</v>
          </cell>
          <cell r="P9" t="str">
            <v>RT. 1 RW. 3 DLOPO, Desa TULAKAN</v>
          </cell>
          <cell r="Q9" t="str">
            <v>TULAKAN</v>
          </cell>
          <cell r="R9" t="str">
            <v>TULAKAN</v>
          </cell>
          <cell r="S9" t="str">
            <v>PACITAN</v>
          </cell>
          <cell r="T9" t="str">
            <v>JAWA TIMUR</v>
          </cell>
          <cell r="U9">
            <v>0</v>
          </cell>
          <cell r="V9">
            <v>0</v>
          </cell>
          <cell r="W9">
            <v>0</v>
          </cell>
        </row>
        <row r="10">
          <cell r="B10">
            <v>4</v>
          </cell>
          <cell r="C10" t="str">
            <v>DEWI GALUH MULANSARI</v>
          </cell>
          <cell r="D10" t="str">
            <v>0076960333</v>
          </cell>
          <cell r="E10">
            <v>0</v>
          </cell>
          <cell r="F10" t="str">
            <v>KEDIRI</v>
          </cell>
          <cell r="G10">
            <v>39132</v>
          </cell>
          <cell r="H10" t="str">
            <v>Kediri, 19 Februari 2007</v>
          </cell>
          <cell r="I10" t="str">
            <v>Islam</v>
          </cell>
          <cell r="J10">
            <v>0</v>
          </cell>
          <cell r="K10" t="str">
            <v>RT. 4 RW. 1 KRAJAN, Desa BUNGUR</v>
          </cell>
          <cell r="L10" t="str">
            <v>SUPRIONO</v>
          </cell>
          <cell r="M10" t="str">
            <v>INTIANAH</v>
          </cell>
          <cell r="N10" t="str">
            <v>PNS/TNI/Polri</v>
          </cell>
          <cell r="O10" t="str">
            <v>Wiraswasta</v>
          </cell>
          <cell r="P10" t="str">
            <v>RT. 4 RW. 1 KRAJAN, Desa BUNGUR</v>
          </cell>
          <cell r="Q10" t="str">
            <v>BUNGUR</v>
          </cell>
          <cell r="R10" t="str">
            <v>TULAKAN</v>
          </cell>
          <cell r="S10" t="str">
            <v>PACITAN</v>
          </cell>
          <cell r="T10" t="str">
            <v>JAWA TIMUR</v>
          </cell>
          <cell r="U10">
            <v>0</v>
          </cell>
          <cell r="V10">
            <v>0</v>
          </cell>
          <cell r="W10">
            <v>0</v>
          </cell>
        </row>
        <row r="11">
          <cell r="B11">
            <v>5</v>
          </cell>
          <cell r="C11" t="str">
            <v>DIAN PUJI LESTARI</v>
          </cell>
          <cell r="D11" t="str">
            <v>0064043905</v>
          </cell>
          <cell r="E11">
            <v>0</v>
          </cell>
          <cell r="F11" t="str">
            <v>TANGERANG</v>
          </cell>
          <cell r="G11">
            <v>38972</v>
          </cell>
          <cell r="H11" t="str">
            <v>Tangerang, 12 September 2006</v>
          </cell>
          <cell r="I11" t="str">
            <v>Islam</v>
          </cell>
          <cell r="J11">
            <v>0</v>
          </cell>
          <cell r="K11" t="str">
            <v>RT. 2 RW. 1 DLOPO, Desa TULAKAN</v>
          </cell>
          <cell r="L11" t="str">
            <v>SLAMET RIYANTO</v>
          </cell>
          <cell r="M11" t="str">
            <v>KASIH WINARNI</v>
          </cell>
          <cell r="N11" t="str">
            <v>Wiraswasta</v>
          </cell>
          <cell r="O11" t="str">
            <v>Tidak bekerja</v>
          </cell>
          <cell r="P11" t="str">
            <v>RT. 2 RW. 1 DLOPO, Desa TULAKAN</v>
          </cell>
          <cell r="Q11" t="str">
            <v>TULAKAN</v>
          </cell>
          <cell r="R11" t="str">
            <v>TULAKAN</v>
          </cell>
          <cell r="S11" t="str">
            <v>PACITAN</v>
          </cell>
          <cell r="T11" t="str">
            <v>JAWA TIMUR</v>
          </cell>
          <cell r="U11">
            <v>0</v>
          </cell>
          <cell r="V11">
            <v>0</v>
          </cell>
          <cell r="W11">
            <v>0</v>
          </cell>
        </row>
        <row r="12">
          <cell r="B12">
            <v>6</v>
          </cell>
          <cell r="C12" t="str">
            <v>Hafidz Langgeng Prasetyo</v>
          </cell>
          <cell r="D12" t="str">
            <v>0084026474</v>
          </cell>
          <cell r="E12">
            <v>0</v>
          </cell>
          <cell r="F12" t="str">
            <v>Karanganyar</v>
          </cell>
          <cell r="G12">
            <v>39481</v>
          </cell>
          <cell r="H12" t="str">
            <v>Karanganyar, 03 Februari 2008</v>
          </cell>
          <cell r="I12" t="str">
            <v>Islam</v>
          </cell>
          <cell r="J12">
            <v>0</v>
          </cell>
          <cell r="K12">
            <v>0</v>
          </cell>
          <cell r="L12" t="str">
            <v>Sudirman</v>
          </cell>
          <cell r="M12" t="str">
            <v>Atur Rini</v>
          </cell>
          <cell r="N12" t="str">
            <v>Karyawan Swasta</v>
          </cell>
          <cell r="O12" t="str">
            <v>Karyawan Swasta</v>
          </cell>
          <cell r="P12">
            <v>0</v>
          </cell>
          <cell r="Q12">
            <v>0</v>
          </cell>
          <cell r="R12" t="str">
            <v>TULAKAN</v>
          </cell>
          <cell r="S12" t="str">
            <v>PACITAN</v>
          </cell>
          <cell r="T12" t="str">
            <v>JAWA TIMUR</v>
          </cell>
          <cell r="U12">
            <v>0</v>
          </cell>
          <cell r="V12">
            <v>0</v>
          </cell>
          <cell r="W12">
            <v>0</v>
          </cell>
        </row>
        <row r="13">
          <cell r="B13">
            <v>7</v>
          </cell>
          <cell r="C13" t="str">
            <v>JALU ARTHA AJI MANGGALA HANDOKO</v>
          </cell>
          <cell r="D13" t="str">
            <v>0076910021</v>
          </cell>
          <cell r="E13">
            <v>0</v>
          </cell>
          <cell r="F13" t="str">
            <v>PACITAN</v>
          </cell>
          <cell r="G13">
            <v>39228</v>
          </cell>
          <cell r="H13" t="str">
            <v>Pacitan, 26 Mei 2007</v>
          </cell>
          <cell r="I13" t="str">
            <v>Islam</v>
          </cell>
          <cell r="J13">
            <v>0</v>
          </cell>
          <cell r="K13" t="str">
            <v>RT. 0 RW. 0 GOWONG, Desa BUNGUR</v>
          </cell>
          <cell r="L13" t="str">
            <v>RUDI HANDOKO</v>
          </cell>
          <cell r="M13" t="str">
            <v>SITI MASROKAH</v>
          </cell>
          <cell r="N13" t="str">
            <v>Karyawan Swasta</v>
          </cell>
          <cell r="O13" t="str">
            <v>PNS/TNI/Polri</v>
          </cell>
          <cell r="P13" t="str">
            <v>RT. 0 RW. 0 GOWONG, Desa BUNGUR</v>
          </cell>
          <cell r="Q13" t="str">
            <v>BUNGUR</v>
          </cell>
          <cell r="R13" t="str">
            <v>TULAKAN</v>
          </cell>
          <cell r="S13" t="str">
            <v>PACITAN</v>
          </cell>
          <cell r="T13" t="str">
            <v>JAWA TIMUR</v>
          </cell>
          <cell r="U13">
            <v>0</v>
          </cell>
          <cell r="V13">
            <v>0</v>
          </cell>
          <cell r="W13">
            <v>0</v>
          </cell>
        </row>
        <row r="14">
          <cell r="B14">
            <v>8</v>
          </cell>
          <cell r="C14" t="str">
            <v>LAURENDHO RADIEFCA MURDIONO</v>
          </cell>
          <cell r="D14" t="str">
            <v>0075578225</v>
          </cell>
          <cell r="E14">
            <v>0</v>
          </cell>
          <cell r="F14" t="str">
            <v>PACITAN</v>
          </cell>
          <cell r="G14">
            <v>39168</v>
          </cell>
          <cell r="H14" t="str">
            <v>Pacitan, 27 Maret 2007</v>
          </cell>
          <cell r="I14" t="str">
            <v>Islam</v>
          </cell>
          <cell r="J14">
            <v>0</v>
          </cell>
          <cell r="K14" t="str">
            <v>RT. 1 RW. 1 KRAJAN, Desa BUNGUR</v>
          </cell>
          <cell r="L14" t="str">
            <v>DONI MURDIONO</v>
          </cell>
          <cell r="M14" t="str">
            <v>DANIS DWI KUSWETI</v>
          </cell>
          <cell r="N14" t="str">
            <v>Wiraswasta</v>
          </cell>
          <cell r="O14" t="str">
            <v>Wiraswasta</v>
          </cell>
          <cell r="P14" t="str">
            <v>RT. 1 RW. 1 KRAJAN, Desa BUNGUR</v>
          </cell>
          <cell r="Q14" t="str">
            <v>BUNGUR</v>
          </cell>
          <cell r="R14" t="str">
            <v>TULAKAN</v>
          </cell>
          <cell r="S14" t="str">
            <v>PACITAN</v>
          </cell>
          <cell r="T14" t="str">
            <v>JAWA TIMUR</v>
          </cell>
          <cell r="U14">
            <v>0</v>
          </cell>
          <cell r="V14">
            <v>0</v>
          </cell>
          <cell r="W14">
            <v>0</v>
          </cell>
        </row>
        <row r="15">
          <cell r="B15">
            <v>9</v>
          </cell>
          <cell r="C15" t="str">
            <v>MARSYA MAYDINA DWI RISQITA</v>
          </cell>
          <cell r="D15" t="str">
            <v>0072443147</v>
          </cell>
          <cell r="E15">
            <v>0</v>
          </cell>
          <cell r="F15" t="str">
            <v>PACITAN</v>
          </cell>
          <cell r="G15">
            <v>39207</v>
          </cell>
          <cell r="H15" t="str">
            <v>Pacitan, 05 Mei 2007</v>
          </cell>
          <cell r="I15" t="str">
            <v>Islam</v>
          </cell>
          <cell r="J15">
            <v>0</v>
          </cell>
          <cell r="K15" t="str">
            <v>RT. 2 RW. 2 KRAJAN, Desa TULAKAN</v>
          </cell>
          <cell r="L15" t="str">
            <v>HERI SUGIARTO</v>
          </cell>
          <cell r="M15" t="str">
            <v>FITRI KOLBYATUN</v>
          </cell>
          <cell r="N15" t="str">
            <v>Wiraswasta</v>
          </cell>
          <cell r="O15" t="str">
            <v>Wiraswasta</v>
          </cell>
          <cell r="P15" t="str">
            <v>RT. 2 RW. 2 KRAJAN, Desa TULAKAN</v>
          </cell>
          <cell r="Q15" t="str">
            <v>TULAKAN</v>
          </cell>
          <cell r="R15" t="str">
            <v>TULAKAN</v>
          </cell>
          <cell r="S15" t="str">
            <v>PACITAN</v>
          </cell>
          <cell r="T15" t="str">
            <v>JAWA TIMUR</v>
          </cell>
          <cell r="U15">
            <v>0</v>
          </cell>
          <cell r="V15">
            <v>0</v>
          </cell>
          <cell r="W15">
            <v>0</v>
          </cell>
        </row>
        <row r="16">
          <cell r="B16">
            <v>10</v>
          </cell>
          <cell r="C16" t="str">
            <v>MILA SARASWATI</v>
          </cell>
          <cell r="D16" t="str">
            <v>0075317908</v>
          </cell>
          <cell r="E16">
            <v>0</v>
          </cell>
          <cell r="F16" t="str">
            <v>PACITAN</v>
          </cell>
          <cell r="G16">
            <v>39168</v>
          </cell>
          <cell r="H16" t="str">
            <v>Pacitan, 27 Maret 2007</v>
          </cell>
          <cell r="I16" t="str">
            <v>Islam</v>
          </cell>
          <cell r="J16">
            <v>0</v>
          </cell>
          <cell r="K16" t="str">
            <v>RT. 2 RW. 4 DLOPO, Desa TULAKAN</v>
          </cell>
          <cell r="L16" t="str">
            <v>MISNO</v>
          </cell>
          <cell r="M16" t="str">
            <v>TUMINI</v>
          </cell>
          <cell r="N16" t="str">
            <v>Wiraswasta</v>
          </cell>
          <cell r="O16" t="str">
            <v>Wiraswasta</v>
          </cell>
          <cell r="P16" t="str">
            <v>RT. 2 RW. 4 DLOPO, Desa TULAKAN</v>
          </cell>
          <cell r="Q16" t="str">
            <v>TULAKAN</v>
          </cell>
          <cell r="R16" t="str">
            <v>TULAKAN</v>
          </cell>
          <cell r="S16" t="str">
            <v>PACITAN</v>
          </cell>
          <cell r="T16" t="str">
            <v>JAWA TIMUR</v>
          </cell>
          <cell r="U16">
            <v>0</v>
          </cell>
          <cell r="V16">
            <v>0</v>
          </cell>
          <cell r="W16">
            <v>0</v>
          </cell>
        </row>
        <row r="17">
          <cell r="B17">
            <v>11</v>
          </cell>
          <cell r="C17" t="str">
            <v>MUHAMMAD ARKAN ALLY RACHMAD</v>
          </cell>
          <cell r="D17" t="str">
            <v>0074463564</v>
          </cell>
          <cell r="E17">
            <v>0</v>
          </cell>
          <cell r="F17" t="str">
            <v>PACITAN</v>
          </cell>
          <cell r="G17">
            <v>39197</v>
          </cell>
          <cell r="H17" t="str">
            <v>Pacitan, 25 April 2007</v>
          </cell>
          <cell r="I17" t="str">
            <v>Islam</v>
          </cell>
          <cell r="J17">
            <v>0</v>
          </cell>
          <cell r="K17" t="str">
            <v>RT. 0 RW. 0 DLOPO, Desa TULAKAN</v>
          </cell>
          <cell r="L17" t="str">
            <v>NUR ALI ATMAJI</v>
          </cell>
          <cell r="M17" t="str">
            <v>ENDANG WIDURI</v>
          </cell>
          <cell r="N17" t="str">
            <v>Karyawan Swasta</v>
          </cell>
          <cell r="O17" t="str">
            <v>PNS/TNI/Polri</v>
          </cell>
          <cell r="P17" t="str">
            <v>RT. 0 RW. 0 DLOPO, Desa TULAKAN</v>
          </cell>
          <cell r="Q17" t="str">
            <v>TULAKAN</v>
          </cell>
          <cell r="R17" t="str">
            <v>TULAKAN</v>
          </cell>
          <cell r="S17" t="str">
            <v>PACITAN</v>
          </cell>
          <cell r="T17" t="str">
            <v>JAWA TIMUR</v>
          </cell>
          <cell r="U17">
            <v>0</v>
          </cell>
          <cell r="V17">
            <v>0</v>
          </cell>
          <cell r="W17">
            <v>0</v>
          </cell>
        </row>
        <row r="18">
          <cell r="B18">
            <v>12</v>
          </cell>
          <cell r="C18" t="str">
            <v>MUHAMMAD REVIAN ABDULLOH FAQIH</v>
          </cell>
          <cell r="D18" t="str">
            <v>0075928792</v>
          </cell>
          <cell r="E18">
            <v>0</v>
          </cell>
          <cell r="F18" t="str">
            <v>PACITAN</v>
          </cell>
          <cell r="G18">
            <v>39140</v>
          </cell>
          <cell r="H18" t="str">
            <v>Pacitan, 27 Februari 2007</v>
          </cell>
          <cell r="I18" t="str">
            <v>Islam</v>
          </cell>
          <cell r="J18">
            <v>0</v>
          </cell>
          <cell r="K18" t="str">
            <v>RT. 2 RW. 1 KRAJAN, Desa BUNGUR</v>
          </cell>
          <cell r="L18" t="str">
            <v>SETYO BUDI WIYONO</v>
          </cell>
          <cell r="M18" t="str">
            <v>WIWIN PURWATININGSIH</v>
          </cell>
          <cell r="N18" t="str">
            <v>Wiraswasta</v>
          </cell>
          <cell r="O18" t="str">
            <v>Wiraswasta</v>
          </cell>
          <cell r="P18" t="str">
            <v>RT. 2 RW. 1 KRAJAN, Desa BUNGUR</v>
          </cell>
          <cell r="Q18" t="str">
            <v>BUNGUR</v>
          </cell>
          <cell r="R18" t="str">
            <v>TULAKAN</v>
          </cell>
          <cell r="S18" t="str">
            <v>PACITAN</v>
          </cell>
          <cell r="T18" t="str">
            <v>JAWA TIMUR</v>
          </cell>
          <cell r="U18">
            <v>0</v>
          </cell>
          <cell r="V18">
            <v>0</v>
          </cell>
          <cell r="W18">
            <v>0</v>
          </cell>
        </row>
        <row r="19">
          <cell r="B19">
            <v>13</v>
          </cell>
          <cell r="C19" t="str">
            <v>NABILA AYUNINGTIAS</v>
          </cell>
          <cell r="D19" t="str">
            <v>0064769149</v>
          </cell>
          <cell r="E19">
            <v>0</v>
          </cell>
          <cell r="F19" t="str">
            <v>PACITAN</v>
          </cell>
          <cell r="G19">
            <v>39049</v>
          </cell>
          <cell r="H19" t="str">
            <v>Pacitan, 28 November 2006</v>
          </cell>
          <cell r="I19" t="str">
            <v>Islam</v>
          </cell>
          <cell r="J19">
            <v>0</v>
          </cell>
          <cell r="K19" t="str">
            <v>RT. 1 RW. 4 DLOPO, Desa TULAKAN</v>
          </cell>
          <cell r="L19" t="str">
            <v>HADI WINARKO</v>
          </cell>
          <cell r="M19" t="str">
            <v>WINARTI</v>
          </cell>
          <cell r="N19" t="str">
            <v>Pedagang Kecil</v>
          </cell>
          <cell r="O19" t="str">
            <v>Wiraswasta</v>
          </cell>
          <cell r="P19" t="str">
            <v>RT. 1 RW. 4 DLOPO, Desa TULAKAN</v>
          </cell>
          <cell r="Q19" t="str">
            <v>TULAKAN</v>
          </cell>
          <cell r="R19" t="str">
            <v>TULAKAN</v>
          </cell>
          <cell r="S19" t="str">
            <v>PACITAN</v>
          </cell>
          <cell r="T19" t="str">
            <v>JAWA TIMUR</v>
          </cell>
          <cell r="U19">
            <v>0</v>
          </cell>
          <cell r="V19">
            <v>0</v>
          </cell>
          <cell r="W19">
            <v>0</v>
          </cell>
        </row>
        <row r="20">
          <cell r="B20">
            <v>14</v>
          </cell>
          <cell r="C20" t="str">
            <v>NARESWARI MASAYU PUSPANINGRUM</v>
          </cell>
          <cell r="D20" t="str">
            <v>0088808632</v>
          </cell>
          <cell r="E20">
            <v>0</v>
          </cell>
          <cell r="F20" t="str">
            <v>PACITAN</v>
          </cell>
          <cell r="G20">
            <v>39480</v>
          </cell>
          <cell r="H20" t="str">
            <v>Pacitan, 02 Februari 2008</v>
          </cell>
          <cell r="I20" t="str">
            <v>Islam</v>
          </cell>
          <cell r="J20">
            <v>0</v>
          </cell>
          <cell r="K20" t="str">
            <v>RT. 1 RW. 1 KRAJAN, Desa JATIGUNUNG</v>
          </cell>
          <cell r="L20" t="str">
            <v>ARUM HARI SUSENO</v>
          </cell>
          <cell r="M20" t="str">
            <v>HESTHI KIRANA</v>
          </cell>
          <cell r="N20" t="str">
            <v>Karyawan Swasta</v>
          </cell>
          <cell r="O20" t="str">
            <v>Karyawan Swasta</v>
          </cell>
          <cell r="P20" t="str">
            <v>RT. 1 RW. 1 KRAJAN, Desa JATIGUNUNG</v>
          </cell>
          <cell r="Q20" t="str">
            <v>JATIGUNUNG</v>
          </cell>
          <cell r="R20" t="str">
            <v>TULAKAN</v>
          </cell>
          <cell r="S20" t="str">
            <v>PACITAN</v>
          </cell>
          <cell r="T20" t="str">
            <v>JAWA TIMUR</v>
          </cell>
          <cell r="U20">
            <v>0</v>
          </cell>
          <cell r="V20">
            <v>0</v>
          </cell>
          <cell r="W20">
            <v>0</v>
          </cell>
        </row>
        <row r="21">
          <cell r="B21">
            <v>15</v>
          </cell>
          <cell r="C21" t="str">
            <v>NOVA SASMYTA</v>
          </cell>
          <cell r="D21" t="str">
            <v>0065683089</v>
          </cell>
          <cell r="E21">
            <v>0</v>
          </cell>
          <cell r="F21" t="str">
            <v>PACITAN</v>
          </cell>
          <cell r="G21">
            <v>38948</v>
          </cell>
          <cell r="H21" t="str">
            <v>Pacitan, 19 Agustus 2006</v>
          </cell>
          <cell r="I21" t="str">
            <v>Islam</v>
          </cell>
          <cell r="J21">
            <v>0</v>
          </cell>
          <cell r="K21">
            <v>0</v>
          </cell>
          <cell r="L21" t="str">
            <v>Amin Handoko</v>
          </cell>
          <cell r="M21" t="str">
            <v>(tidak diisi)</v>
          </cell>
          <cell r="N21">
            <v>0</v>
          </cell>
          <cell r="O21">
            <v>0</v>
          </cell>
          <cell r="P21">
            <v>0</v>
          </cell>
          <cell r="Q21" t="str">
            <v>BUNGUR</v>
          </cell>
          <cell r="R21" t="str">
            <v>TULAKAN</v>
          </cell>
          <cell r="S21" t="str">
            <v>PACITAN</v>
          </cell>
          <cell r="T21" t="str">
            <v>JAWA TIMUR</v>
          </cell>
          <cell r="U21">
            <v>0</v>
          </cell>
          <cell r="V21">
            <v>0</v>
          </cell>
          <cell r="W21">
            <v>0</v>
          </cell>
        </row>
        <row r="22">
          <cell r="B22">
            <v>16</v>
          </cell>
          <cell r="C22" t="str">
            <v>RIDHA RAHMATUL AULA RIDWAN</v>
          </cell>
          <cell r="D22" t="str">
            <v>0062535676</v>
          </cell>
          <cell r="E22">
            <v>0</v>
          </cell>
          <cell r="F22" t="str">
            <v>PACITAN</v>
          </cell>
          <cell r="G22">
            <v>39002</v>
          </cell>
          <cell r="H22" t="str">
            <v>Pacitan, 12 Oktober 2006</v>
          </cell>
          <cell r="I22" t="str">
            <v>Islam</v>
          </cell>
          <cell r="J22">
            <v>0</v>
          </cell>
          <cell r="K22" t="str">
            <v>RT. 2 RW. 1 KRAJAN, Desa BUNGUR</v>
          </cell>
          <cell r="L22" t="str">
            <v>M. CHUZAIRI RIDWAN</v>
          </cell>
          <cell r="M22" t="str">
            <v>TITIK SURYANI</v>
          </cell>
          <cell r="N22" t="str">
            <v>Wiraswasta</v>
          </cell>
          <cell r="O22" t="str">
            <v>Wiraswasta</v>
          </cell>
          <cell r="P22" t="str">
            <v>RT. 2 RW. 1 KRAJAN, Desa BUNGUR</v>
          </cell>
          <cell r="Q22" t="str">
            <v>BUNGUR</v>
          </cell>
          <cell r="R22" t="str">
            <v>TULAKAN</v>
          </cell>
          <cell r="S22" t="str">
            <v>PACITAN</v>
          </cell>
          <cell r="T22" t="str">
            <v>JAWA TIMUR</v>
          </cell>
          <cell r="U22">
            <v>0</v>
          </cell>
          <cell r="V22">
            <v>0</v>
          </cell>
          <cell r="W22">
            <v>0</v>
          </cell>
        </row>
        <row r="23">
          <cell r="B23">
            <v>17</v>
          </cell>
          <cell r="C23" t="str">
            <v>RIFDA SALSABILA PURNAMA</v>
          </cell>
          <cell r="D23" t="str">
            <v>0074401121</v>
          </cell>
          <cell r="E23">
            <v>0</v>
          </cell>
          <cell r="F23" t="str">
            <v>PACITAN</v>
          </cell>
          <cell r="G23">
            <v>39156</v>
          </cell>
          <cell r="H23" t="str">
            <v>Pacitan, 15 Maret 2007</v>
          </cell>
          <cell r="I23" t="str">
            <v>Islam</v>
          </cell>
          <cell r="J23">
            <v>0</v>
          </cell>
          <cell r="K23" t="str">
            <v>RT. 2 RW. 4 DLOPO, Desa TULAKAN</v>
          </cell>
          <cell r="L23" t="str">
            <v>JOKO PURNOMO</v>
          </cell>
          <cell r="M23" t="str">
            <v>LILIS SURYANI</v>
          </cell>
          <cell r="N23" t="str">
            <v>PNS/TNI/Polri</v>
          </cell>
          <cell r="O23" t="str">
            <v>PNS/TNI/Polri</v>
          </cell>
          <cell r="P23" t="str">
            <v>RT. 2 RW. 4 DLOPO, Desa TULAKAN</v>
          </cell>
          <cell r="Q23" t="str">
            <v>TULAKAN</v>
          </cell>
          <cell r="R23" t="str">
            <v>TULAKAN</v>
          </cell>
          <cell r="S23" t="str">
            <v>PACITAN</v>
          </cell>
          <cell r="T23" t="str">
            <v>JAWA TIMUR</v>
          </cell>
          <cell r="U23">
            <v>0</v>
          </cell>
          <cell r="V23">
            <v>0</v>
          </cell>
          <cell r="W23">
            <v>0</v>
          </cell>
        </row>
        <row r="24">
          <cell r="B24">
            <v>18</v>
          </cell>
          <cell r="C24" t="str">
            <v>RIZKI INTAN KURNIAENDAH</v>
          </cell>
          <cell r="D24" t="str">
            <v>0074745293</v>
          </cell>
          <cell r="E24">
            <v>0</v>
          </cell>
          <cell r="F24" t="str">
            <v>PACITAN</v>
          </cell>
          <cell r="G24">
            <v>39090</v>
          </cell>
          <cell r="H24" t="str">
            <v>Pacitan, 08 Januari 2007</v>
          </cell>
          <cell r="I24" t="str">
            <v>Islam</v>
          </cell>
          <cell r="J24">
            <v>0</v>
          </cell>
          <cell r="K24" t="str">
            <v>RT. 2 RW. 2 KRAJAN, Desa BUNGUR</v>
          </cell>
          <cell r="L24" t="str">
            <v>SLAMET MISTARI</v>
          </cell>
          <cell r="M24" t="str">
            <v>SRI PURWATI</v>
          </cell>
          <cell r="N24" t="str">
            <v>PNS/TNI/Polri</v>
          </cell>
          <cell r="O24" t="str">
            <v>Tidak bekerja</v>
          </cell>
          <cell r="P24" t="str">
            <v>RT. 2 RW. 2 KRAJAN, Desa BUNGUR</v>
          </cell>
          <cell r="Q24" t="str">
            <v>BUNGUR</v>
          </cell>
          <cell r="R24" t="str">
            <v>TULAKAN</v>
          </cell>
          <cell r="S24" t="str">
            <v>PACITAN</v>
          </cell>
          <cell r="T24" t="str">
            <v>JAWA TIMUR</v>
          </cell>
          <cell r="U24">
            <v>0</v>
          </cell>
          <cell r="V24">
            <v>0</v>
          </cell>
          <cell r="W24">
            <v>0</v>
          </cell>
        </row>
        <row r="25">
          <cell r="B25">
            <v>19</v>
          </cell>
          <cell r="C25" t="str">
            <v>RIZKY FIRMANSYAH</v>
          </cell>
          <cell r="D25" t="str">
            <v>0064051659</v>
          </cell>
          <cell r="E25">
            <v>0</v>
          </cell>
          <cell r="F25" t="str">
            <v>BANYUMAS</v>
          </cell>
          <cell r="G25">
            <v>38982</v>
          </cell>
          <cell r="H25" t="str">
            <v>Banyumas, 22 September 2006</v>
          </cell>
          <cell r="I25" t="str">
            <v>Islam</v>
          </cell>
          <cell r="J25">
            <v>0</v>
          </cell>
          <cell r="K25" t="str">
            <v>RT. 2 RW. 2 KRAJAN, Desa BUNGUR</v>
          </cell>
          <cell r="L25" t="str">
            <v>ARIF SETYADI</v>
          </cell>
          <cell r="M25" t="str">
            <v>WARYATI</v>
          </cell>
          <cell r="N25" t="str">
            <v>Wiraswasta</v>
          </cell>
          <cell r="O25" t="str">
            <v>Wiraswasta</v>
          </cell>
          <cell r="P25" t="str">
            <v>RT. 2 RW. 2 KRAJAN, Desa BUNGUR</v>
          </cell>
          <cell r="Q25" t="str">
            <v>BUNGUR</v>
          </cell>
          <cell r="R25" t="str">
            <v>TULAKAN</v>
          </cell>
          <cell r="S25" t="str">
            <v>PACITAN</v>
          </cell>
          <cell r="T25" t="str">
            <v>JAWA TIMUR</v>
          </cell>
          <cell r="U25">
            <v>0</v>
          </cell>
          <cell r="V25">
            <v>0</v>
          </cell>
          <cell r="W25">
            <v>0</v>
          </cell>
        </row>
        <row r="26">
          <cell r="B26">
            <v>20</v>
          </cell>
          <cell r="C26" t="str">
            <v>SAFIRA NUR LAYLA RAMADHANI</v>
          </cell>
          <cell r="D26" t="str">
            <v>0061107062</v>
          </cell>
          <cell r="E26">
            <v>0</v>
          </cell>
          <cell r="F26" t="str">
            <v>PACITAN</v>
          </cell>
          <cell r="G26">
            <v>38983</v>
          </cell>
          <cell r="H26" t="str">
            <v>Pacitan, 23 September 2006</v>
          </cell>
          <cell r="I26" t="str">
            <v>Islam</v>
          </cell>
          <cell r="J26">
            <v>0</v>
          </cell>
          <cell r="K26" t="str">
            <v>RT. 1 RW. 1 KRAJAN, Desa BUNGUR</v>
          </cell>
          <cell r="L26" t="str">
            <v>TUMARNO</v>
          </cell>
          <cell r="M26" t="str">
            <v>YULI NUR KHOLIFAH</v>
          </cell>
          <cell r="N26" t="str">
            <v>Wiraswasta</v>
          </cell>
          <cell r="O26" t="str">
            <v>Wiraswasta</v>
          </cell>
          <cell r="P26" t="str">
            <v>RT. 1 RW. 1 KRAJAN, Desa BUNGUR</v>
          </cell>
          <cell r="Q26" t="str">
            <v>BUNGUR</v>
          </cell>
          <cell r="R26" t="str">
            <v>TULAKAN</v>
          </cell>
          <cell r="S26" t="str">
            <v>PACITAN</v>
          </cell>
          <cell r="T26" t="str">
            <v>JAWA TIMUR</v>
          </cell>
          <cell r="U26">
            <v>0</v>
          </cell>
          <cell r="V26">
            <v>0</v>
          </cell>
          <cell r="W26">
            <v>0</v>
          </cell>
        </row>
        <row r="27">
          <cell r="B27">
            <v>21</v>
          </cell>
          <cell r="C27" t="str">
            <v>SHANASTRI RUFAIDA</v>
          </cell>
          <cell r="D27" t="str">
            <v>0065512286</v>
          </cell>
          <cell r="E27">
            <v>0</v>
          </cell>
          <cell r="F27" t="str">
            <v>PACITAN</v>
          </cell>
          <cell r="G27">
            <v>38988</v>
          </cell>
          <cell r="H27" t="str">
            <v>Pacitan, 28 September 2006</v>
          </cell>
          <cell r="I27" t="str">
            <v>Islam</v>
          </cell>
          <cell r="J27">
            <v>0</v>
          </cell>
          <cell r="K27" t="str">
            <v>RT. 1 RW. 6 KRAJAN, Desa BUNGUR</v>
          </cell>
          <cell r="L27" t="str">
            <v>TRIONO</v>
          </cell>
          <cell r="M27" t="str">
            <v>TUNARSIH</v>
          </cell>
          <cell r="N27" t="str">
            <v>Wiraswasta</v>
          </cell>
          <cell r="O27" t="str">
            <v>Wiraswasta</v>
          </cell>
          <cell r="P27" t="str">
            <v>RT. 1 RW. 6 KRAJAN, Desa BUNGUR</v>
          </cell>
          <cell r="Q27" t="str">
            <v>BUNGUR</v>
          </cell>
          <cell r="R27" t="str">
            <v>TULAKAN</v>
          </cell>
          <cell r="S27" t="str">
            <v>PACITAN</v>
          </cell>
          <cell r="T27" t="str">
            <v>JAWA TIMUR</v>
          </cell>
          <cell r="U27">
            <v>0</v>
          </cell>
          <cell r="V27">
            <v>0</v>
          </cell>
          <cell r="W27">
            <v>0</v>
          </cell>
        </row>
        <row r="28">
          <cell r="B28">
            <v>22</v>
          </cell>
          <cell r="C28" t="str">
            <v>SHIAM SAHARA</v>
          </cell>
          <cell r="D28" t="str">
            <v>0061014421</v>
          </cell>
          <cell r="E28">
            <v>0</v>
          </cell>
          <cell r="F28" t="str">
            <v>PACITAN</v>
          </cell>
          <cell r="G28">
            <v>39000</v>
          </cell>
          <cell r="H28" t="str">
            <v>Pacitan, 10 Oktober 2006</v>
          </cell>
          <cell r="I28" t="str">
            <v>Islam</v>
          </cell>
          <cell r="J28">
            <v>0</v>
          </cell>
          <cell r="K28" t="str">
            <v>RT. 1 RW. 1 KRAJAN, Desa BUNGUR</v>
          </cell>
          <cell r="L28" t="str">
            <v>PRIYANTO</v>
          </cell>
          <cell r="M28" t="str">
            <v>MURTINI</v>
          </cell>
          <cell r="N28" t="str">
            <v>Wiraswasta</v>
          </cell>
          <cell r="O28" t="str">
            <v>Wiraswasta</v>
          </cell>
          <cell r="P28" t="str">
            <v>RT. 1 RW. 1 KRAJAN, Desa BUNGUR</v>
          </cell>
          <cell r="Q28" t="str">
            <v>BUNGUR</v>
          </cell>
          <cell r="R28" t="str">
            <v>TULAKAN</v>
          </cell>
          <cell r="S28" t="str">
            <v>PACITAN</v>
          </cell>
          <cell r="T28" t="str">
            <v>JAWA TIMUR</v>
          </cell>
          <cell r="U28">
            <v>0</v>
          </cell>
          <cell r="V28">
            <v>0</v>
          </cell>
          <cell r="W28">
            <v>0</v>
          </cell>
        </row>
        <row r="29">
          <cell r="B29">
            <v>23</v>
          </cell>
          <cell r="C29" t="str">
            <v>SUSAN APRILIA PUTRI</v>
          </cell>
          <cell r="D29" t="str">
            <v>0067678566</v>
          </cell>
          <cell r="E29">
            <v>0</v>
          </cell>
          <cell r="F29" t="str">
            <v>PACITAN</v>
          </cell>
          <cell r="G29">
            <v>38810</v>
          </cell>
          <cell r="H29" t="str">
            <v>Pacitan, 03 April 2006</v>
          </cell>
          <cell r="I29" t="str">
            <v>Islam</v>
          </cell>
          <cell r="J29">
            <v>0</v>
          </cell>
          <cell r="K29" t="str">
            <v>RT. 3 RW. 1 KRAJAN, Desa BUNGUR</v>
          </cell>
          <cell r="L29" t="str">
            <v>DWI HARIYONO</v>
          </cell>
          <cell r="M29" t="str">
            <v>LILYS EKA WAHYUNINGTYAS TUTIK</v>
          </cell>
          <cell r="N29" t="str">
            <v>Wiraswasta</v>
          </cell>
          <cell r="O29" t="str">
            <v>Wiraswasta</v>
          </cell>
          <cell r="P29" t="str">
            <v>RT. 3 RW. 1 KRAJAN, Desa BUNGUR</v>
          </cell>
          <cell r="Q29" t="str">
            <v>BUNGUR</v>
          </cell>
          <cell r="R29" t="str">
            <v>TULAKAN</v>
          </cell>
          <cell r="S29" t="str">
            <v>PACITAN</v>
          </cell>
          <cell r="T29" t="str">
            <v>JAWA TIMUR</v>
          </cell>
          <cell r="U29">
            <v>0</v>
          </cell>
          <cell r="V29">
            <v>0</v>
          </cell>
          <cell r="W29">
            <v>0</v>
          </cell>
        </row>
        <row r="30">
          <cell r="B30">
            <v>24</v>
          </cell>
          <cell r="C30" t="str">
            <v>SYIFAUL CHUSNA BANATU ROHMI HADI</v>
          </cell>
          <cell r="D30" t="str">
            <v>0075392928</v>
          </cell>
          <cell r="E30">
            <v>0</v>
          </cell>
          <cell r="F30" t="str">
            <v>PACITAN</v>
          </cell>
          <cell r="G30">
            <v>39173</v>
          </cell>
          <cell r="H30" t="str">
            <v>Pacitan, 01 April 2007</v>
          </cell>
          <cell r="I30" t="str">
            <v>Islam</v>
          </cell>
          <cell r="J30">
            <v>0</v>
          </cell>
          <cell r="K30" t="str">
            <v>RT. 3 RW. 4 KRAJAN, Desa JATIGUNUNG</v>
          </cell>
          <cell r="L30" t="str">
            <v>MOCH. CHUSAINI</v>
          </cell>
          <cell r="M30" t="str">
            <v>NURHAYATI</v>
          </cell>
          <cell r="N30" t="str">
            <v>Wiraswasta</v>
          </cell>
          <cell r="O30" t="str">
            <v>PNS/TNI/Polri</v>
          </cell>
          <cell r="P30" t="str">
            <v>RT. 3 RW. 4 KRAJAN, Desa JATIGUNUNG</v>
          </cell>
          <cell r="Q30" t="str">
            <v>JATIGUNUNG</v>
          </cell>
          <cell r="R30" t="str">
            <v>TULAKAN</v>
          </cell>
          <cell r="S30" t="str">
            <v>PACITAN</v>
          </cell>
          <cell r="T30" t="str">
            <v>JAWA TIMUR</v>
          </cell>
          <cell r="U30">
            <v>0</v>
          </cell>
          <cell r="V30">
            <v>0</v>
          </cell>
          <cell r="W30">
            <v>0</v>
          </cell>
        </row>
        <row r="31">
          <cell r="B31">
            <v>25</v>
          </cell>
          <cell r="C31" t="str">
            <v>VANESSA VICKY AYU LESTARI</v>
          </cell>
          <cell r="D31" t="str">
            <v>0074921688</v>
          </cell>
          <cell r="E31">
            <v>0</v>
          </cell>
          <cell r="F31" t="str">
            <v>PACITAN</v>
          </cell>
          <cell r="G31">
            <v>39237</v>
          </cell>
          <cell r="H31" t="str">
            <v>Pacitan, 04 Juni 2007</v>
          </cell>
          <cell r="I31" t="str">
            <v>Islam</v>
          </cell>
          <cell r="J31">
            <v>0</v>
          </cell>
          <cell r="K31" t="str">
            <v>RT. 4 RW. 4 KRAJAN, Desa JATIGUNUNG</v>
          </cell>
          <cell r="L31" t="str">
            <v>SUPRIANTO</v>
          </cell>
          <cell r="M31" t="str">
            <v>DWI LESTARI</v>
          </cell>
          <cell r="N31" t="str">
            <v>Karyawan Swasta</v>
          </cell>
          <cell r="O31" t="str">
            <v>Tidak bekerja</v>
          </cell>
          <cell r="P31" t="str">
            <v>RT. 4 RW. 4 KRAJAN, Desa JATIGUNUNG</v>
          </cell>
          <cell r="Q31" t="str">
            <v>JATIGUNUNG</v>
          </cell>
          <cell r="R31" t="str">
            <v>TULAKAN</v>
          </cell>
          <cell r="S31" t="str">
            <v>PACITAN</v>
          </cell>
          <cell r="T31" t="str">
            <v>JAWA TIMUR</v>
          </cell>
          <cell r="U31">
            <v>0</v>
          </cell>
          <cell r="V31">
            <v>0</v>
          </cell>
          <cell r="W31">
            <v>0</v>
          </cell>
        </row>
        <row r="32">
          <cell r="B32">
            <v>26</v>
          </cell>
          <cell r="C32" t="str">
            <v>WIBI NUR FIRMANSYAH</v>
          </cell>
          <cell r="D32" t="str">
            <v>0076042461</v>
          </cell>
          <cell r="E32">
            <v>0</v>
          </cell>
          <cell r="F32" t="str">
            <v>PACITAN</v>
          </cell>
          <cell r="G32">
            <v>39147</v>
          </cell>
          <cell r="H32" t="str">
            <v>Pacitan, 06 Maret 2007</v>
          </cell>
          <cell r="I32" t="str">
            <v>Islam</v>
          </cell>
          <cell r="J32">
            <v>0</v>
          </cell>
          <cell r="K32" t="str">
            <v>RT. 1 RW. 6 KRAJAN, Desa BUNGUR</v>
          </cell>
          <cell r="L32" t="str">
            <v>NURMAN JATMIKO</v>
          </cell>
          <cell r="M32" t="str">
            <v>NANI OKTAFIANI</v>
          </cell>
          <cell r="N32" t="str">
            <v>PNS/TNI/Polri</v>
          </cell>
          <cell r="O32" t="str">
            <v>Karyawan Swasta</v>
          </cell>
          <cell r="P32" t="str">
            <v>RT. 1 RW. 6 KRAJAN, Desa BUNGUR</v>
          </cell>
          <cell r="Q32" t="str">
            <v>BUNGUR</v>
          </cell>
          <cell r="R32" t="str">
            <v>TULAKAN</v>
          </cell>
          <cell r="S32" t="str">
            <v>PACITAN</v>
          </cell>
          <cell r="T32" t="str">
            <v>JAWA TIMUR</v>
          </cell>
          <cell r="U32">
            <v>0</v>
          </cell>
          <cell r="V32">
            <v>0</v>
          </cell>
          <cell r="W32">
            <v>0</v>
          </cell>
        </row>
        <row r="33">
          <cell r="B33">
            <v>27</v>
          </cell>
          <cell r="C33" t="str">
            <v>ZULFIDA NURUL MAZIDAH</v>
          </cell>
          <cell r="D33" t="str">
            <v>0074039862</v>
          </cell>
          <cell r="E33">
            <v>0</v>
          </cell>
          <cell r="F33" t="str">
            <v>PACITAN</v>
          </cell>
          <cell r="G33">
            <v>39134</v>
          </cell>
          <cell r="H33" t="str">
            <v>Pacitan, 21 Februari 2007</v>
          </cell>
          <cell r="I33" t="str">
            <v>Islam</v>
          </cell>
          <cell r="J33">
            <v>0</v>
          </cell>
          <cell r="K33" t="str">
            <v>RT. 2 RW. 4 GLINGGANGAN, Desa PADI</v>
          </cell>
          <cell r="L33" t="str">
            <v>TEGUH SANTOSA</v>
          </cell>
          <cell r="M33" t="str">
            <v>WIJI ASTUTI</v>
          </cell>
          <cell r="N33" t="str">
            <v>Pedagang Kecil</v>
          </cell>
          <cell r="O33" t="str">
            <v>Pedagang Kecil</v>
          </cell>
          <cell r="P33" t="str">
            <v>RT. 2 RW. 4 GLINGGANGAN, Desa PADI</v>
          </cell>
          <cell r="Q33" t="str">
            <v>PADI</v>
          </cell>
          <cell r="R33" t="str">
            <v>TULAKAN</v>
          </cell>
          <cell r="S33" t="str">
            <v>PACITAN</v>
          </cell>
          <cell r="T33" t="str">
            <v>JAWA TIMUR</v>
          </cell>
          <cell r="U33">
            <v>0</v>
          </cell>
          <cell r="V33">
            <v>0</v>
          </cell>
          <cell r="W33">
            <v>0</v>
          </cell>
        </row>
        <row r="34">
          <cell r="B34">
            <v>28</v>
          </cell>
          <cell r="C34" t="str">
            <v>AZKA AFINA KHOIRUL IZA</v>
          </cell>
          <cell r="D34">
            <v>0</v>
          </cell>
          <cell r="E34">
            <v>0</v>
          </cell>
          <cell r="F34">
            <v>0</v>
          </cell>
          <cell r="G34">
            <v>0</v>
          </cell>
          <cell r="H34" t="str">
            <v>, 00 Januari 1900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row>
        <row r="35">
          <cell r="B35">
            <v>29</v>
          </cell>
          <cell r="C35" t="str">
            <v>BAGUS WIDA KANAKA</v>
          </cell>
          <cell r="D35">
            <v>0</v>
          </cell>
          <cell r="E35">
            <v>0</v>
          </cell>
          <cell r="F35">
            <v>0</v>
          </cell>
          <cell r="G35">
            <v>0</v>
          </cell>
          <cell r="H35" t="str">
            <v>, 00 Januari 1900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row>
        <row r="36">
          <cell r="B36">
            <v>30</v>
          </cell>
          <cell r="C36" t="str">
            <v>DENI FIRYA ATHALLAH PRADINAYA</v>
          </cell>
          <cell r="D36">
            <v>0</v>
          </cell>
          <cell r="E36">
            <v>0</v>
          </cell>
          <cell r="F36">
            <v>0</v>
          </cell>
          <cell r="G36">
            <v>0</v>
          </cell>
          <cell r="H36" t="str">
            <v>, 00 Januari 1900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row>
        <row r="37">
          <cell r="B37">
            <v>31</v>
          </cell>
          <cell r="C37" t="str">
            <v>DEWI GALUH MULANSARI</v>
          </cell>
          <cell r="D37">
            <v>0</v>
          </cell>
          <cell r="E37">
            <v>0</v>
          </cell>
          <cell r="F37">
            <v>0</v>
          </cell>
          <cell r="G37">
            <v>0</v>
          </cell>
          <cell r="H37" t="str">
            <v>, 00 Januari 1900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row>
        <row r="38">
          <cell r="B38">
            <v>32</v>
          </cell>
          <cell r="C38" t="str">
            <v>DIAN PUJI LESTARI</v>
          </cell>
          <cell r="D38">
            <v>0</v>
          </cell>
          <cell r="E38">
            <v>0</v>
          </cell>
          <cell r="F38">
            <v>0</v>
          </cell>
          <cell r="G38">
            <v>0</v>
          </cell>
          <cell r="H38" t="str">
            <v>, 00 Januari 1900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row>
        <row r="39">
          <cell r="B39">
            <v>33</v>
          </cell>
          <cell r="C39" t="str">
            <v>Hafidz Langgeng Prasetyo</v>
          </cell>
          <cell r="D39">
            <v>0</v>
          </cell>
          <cell r="E39">
            <v>0</v>
          </cell>
          <cell r="F39">
            <v>0</v>
          </cell>
          <cell r="G39">
            <v>0</v>
          </cell>
          <cell r="H39" t="str">
            <v>, 00 Januari 1900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row>
        <row r="40">
          <cell r="B40">
            <v>34</v>
          </cell>
          <cell r="C40" t="str">
            <v>JALU ARTHA AJI MANGGALA HANDOKO</v>
          </cell>
          <cell r="D40">
            <v>0</v>
          </cell>
          <cell r="E40">
            <v>0</v>
          </cell>
          <cell r="F40">
            <v>0</v>
          </cell>
          <cell r="G40">
            <v>0</v>
          </cell>
          <cell r="H40" t="str">
            <v>, 00 Januari 1900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row>
        <row r="41">
          <cell r="B41">
            <v>35</v>
          </cell>
          <cell r="C41" t="str">
            <v>LAURENDHO RADIEFCA MURDIONO</v>
          </cell>
          <cell r="D41">
            <v>0</v>
          </cell>
          <cell r="E41">
            <v>0</v>
          </cell>
          <cell r="F41">
            <v>0</v>
          </cell>
          <cell r="G41">
            <v>0</v>
          </cell>
          <cell r="H41" t="str">
            <v>, 00 Januari 1900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row>
        <row r="42">
          <cell r="B42">
            <v>36</v>
          </cell>
          <cell r="C42" t="str">
            <v>MARSYA MAYDINA DWI RISQITA</v>
          </cell>
          <cell r="D42">
            <v>0</v>
          </cell>
          <cell r="E42">
            <v>0</v>
          </cell>
          <cell r="F42">
            <v>0</v>
          </cell>
          <cell r="G42">
            <v>0</v>
          </cell>
          <cell r="H42" t="str">
            <v>, 00 Januari 1900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row>
        <row r="43">
          <cell r="B43">
            <v>37</v>
          </cell>
          <cell r="C43" t="str">
            <v>MILA SARASWATI</v>
          </cell>
          <cell r="D43">
            <v>0</v>
          </cell>
          <cell r="E43">
            <v>0</v>
          </cell>
          <cell r="F43">
            <v>0</v>
          </cell>
          <cell r="G43">
            <v>0</v>
          </cell>
          <cell r="H43" t="str">
            <v>, 00 Januari 1900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row>
        <row r="44">
          <cell r="B44">
            <v>38</v>
          </cell>
          <cell r="C44" t="str">
            <v>MUHAMMAD ARKAN ALLY RACHMAD</v>
          </cell>
          <cell r="D44">
            <v>0</v>
          </cell>
          <cell r="E44">
            <v>0</v>
          </cell>
          <cell r="F44">
            <v>0</v>
          </cell>
          <cell r="G44">
            <v>0</v>
          </cell>
          <cell r="H44" t="str">
            <v>, 00 Januari 1900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row>
        <row r="45">
          <cell r="B45">
            <v>39</v>
          </cell>
          <cell r="C45" t="str">
            <v>MUHAMMAD REVIAN ABDULLOH FAQIH</v>
          </cell>
          <cell r="D45">
            <v>0</v>
          </cell>
          <cell r="E45">
            <v>0</v>
          </cell>
          <cell r="F45">
            <v>0</v>
          </cell>
          <cell r="G45">
            <v>0</v>
          </cell>
          <cell r="H45" t="str">
            <v>, 00 Januari 1900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row>
        <row r="46">
          <cell r="B46">
            <v>40</v>
          </cell>
          <cell r="C46" t="str">
            <v>NABILA AYUNINGTIAS</v>
          </cell>
          <cell r="D46">
            <v>0</v>
          </cell>
          <cell r="E46">
            <v>0</v>
          </cell>
          <cell r="F46">
            <v>0</v>
          </cell>
          <cell r="G46">
            <v>0</v>
          </cell>
          <cell r="H46" t="str">
            <v>, 00 Januari 1900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row>
        <row r="47">
          <cell r="B47">
            <v>41</v>
          </cell>
          <cell r="C47" t="str">
            <v>NARESWARI MASAYU PUSPANINGRUM</v>
          </cell>
          <cell r="D47">
            <v>0</v>
          </cell>
          <cell r="E47">
            <v>0</v>
          </cell>
          <cell r="F47">
            <v>0</v>
          </cell>
          <cell r="G47">
            <v>0</v>
          </cell>
          <cell r="H47" t="str">
            <v>, 00 Januari 1900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row>
        <row r="48">
          <cell r="B48">
            <v>42</v>
          </cell>
          <cell r="C48" t="str">
            <v>NOVA SASMYTA</v>
          </cell>
          <cell r="D48">
            <v>0</v>
          </cell>
          <cell r="E48">
            <v>0</v>
          </cell>
          <cell r="F48">
            <v>0</v>
          </cell>
          <cell r="G48">
            <v>0</v>
          </cell>
          <cell r="H48" t="str">
            <v>, 00 Januari 1900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row>
        <row r="49">
          <cell r="B49">
            <v>43</v>
          </cell>
          <cell r="C49" t="str">
            <v>RIDHA RAHMATUL AULA RIDWAN</v>
          </cell>
          <cell r="D49">
            <v>0</v>
          </cell>
          <cell r="E49">
            <v>0</v>
          </cell>
          <cell r="F49">
            <v>0</v>
          </cell>
          <cell r="G49">
            <v>0</v>
          </cell>
          <cell r="H49" t="str">
            <v>, 00 Januari 1900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v>44</v>
          </cell>
          <cell r="C50" t="str">
            <v>RIFDA SALSABILA PURNAMA</v>
          </cell>
          <cell r="D50">
            <v>0</v>
          </cell>
          <cell r="E50">
            <v>0</v>
          </cell>
          <cell r="F50">
            <v>0</v>
          </cell>
          <cell r="G50">
            <v>0</v>
          </cell>
          <cell r="H50" t="str">
            <v>, 00 Januari 1900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row>
        <row r="51">
          <cell r="B51">
            <v>45</v>
          </cell>
          <cell r="C51" t="str">
            <v>RIZKI INTAN KURNIAENDAH</v>
          </cell>
          <cell r="D51">
            <v>0</v>
          </cell>
          <cell r="E51">
            <v>0</v>
          </cell>
          <cell r="F51">
            <v>0</v>
          </cell>
          <cell r="G51">
            <v>0</v>
          </cell>
          <cell r="H51" t="str">
            <v>, 00 Januari 1900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row>
        <row r="52">
          <cell r="B52">
            <v>46</v>
          </cell>
          <cell r="C52" t="str">
            <v>RIZKY FIRMANSYAH</v>
          </cell>
          <cell r="D52">
            <v>0</v>
          </cell>
          <cell r="E52">
            <v>0</v>
          </cell>
          <cell r="F52">
            <v>0</v>
          </cell>
          <cell r="G52">
            <v>0</v>
          </cell>
          <cell r="H52" t="str">
            <v>, 00 Januari 1900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row>
        <row r="53">
          <cell r="B53">
            <v>47</v>
          </cell>
          <cell r="C53" t="str">
            <v>SAFIRA NUR LAYLA RAMADHANI</v>
          </cell>
          <cell r="D53">
            <v>0</v>
          </cell>
          <cell r="E53">
            <v>0</v>
          </cell>
          <cell r="F53">
            <v>0</v>
          </cell>
          <cell r="G53">
            <v>0</v>
          </cell>
          <cell r="H53" t="str">
            <v>, 00 Januari 1900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row>
        <row r="54">
          <cell r="B54">
            <v>48</v>
          </cell>
          <cell r="C54" t="str">
            <v>SHANASTRI RUFAIDA</v>
          </cell>
          <cell r="D54">
            <v>0</v>
          </cell>
          <cell r="E54">
            <v>0</v>
          </cell>
          <cell r="F54">
            <v>0</v>
          </cell>
          <cell r="G54">
            <v>0</v>
          </cell>
          <cell r="H54" t="str">
            <v>, 00 Januari 1900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row>
        <row r="55">
          <cell r="B55">
            <v>49</v>
          </cell>
          <cell r="C55" t="str">
            <v>SHIAM SAHARA</v>
          </cell>
          <cell r="D55">
            <v>0</v>
          </cell>
          <cell r="E55">
            <v>0</v>
          </cell>
          <cell r="F55">
            <v>0</v>
          </cell>
          <cell r="G55">
            <v>0</v>
          </cell>
          <cell r="H55" t="str">
            <v>, 00 Januari 1900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row>
        <row r="56">
          <cell r="B56">
            <v>50</v>
          </cell>
          <cell r="C56" t="str">
            <v>SUSAN APRILIA PUTRI</v>
          </cell>
          <cell r="D56">
            <v>0</v>
          </cell>
          <cell r="E56">
            <v>0</v>
          </cell>
          <cell r="F56">
            <v>0</v>
          </cell>
          <cell r="G56">
            <v>0</v>
          </cell>
          <cell r="H56" t="str">
            <v>, 00 Januari 1900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row>
        <row r="57">
          <cell r="B57">
            <v>51</v>
          </cell>
          <cell r="C57" t="str">
            <v>SYIFAUL CHUSNA BANATU ROHMI HADI</v>
          </cell>
          <cell r="D57">
            <v>0</v>
          </cell>
          <cell r="E57">
            <v>0</v>
          </cell>
          <cell r="F57">
            <v>0</v>
          </cell>
          <cell r="G57">
            <v>0</v>
          </cell>
          <cell r="H57" t="str">
            <v>, 00 Januari 1900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row>
        <row r="58">
          <cell r="B58">
            <v>52</v>
          </cell>
          <cell r="C58" t="str">
            <v>VANESSA VICKY AYU LESTARI</v>
          </cell>
          <cell r="D58">
            <v>0</v>
          </cell>
          <cell r="E58">
            <v>0</v>
          </cell>
          <cell r="F58">
            <v>0</v>
          </cell>
          <cell r="G58">
            <v>0</v>
          </cell>
          <cell r="H58" t="str">
            <v>, 00 Januari 1900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row>
        <row r="59">
          <cell r="B59">
            <v>53</v>
          </cell>
          <cell r="C59" t="str">
            <v>WIBI NUR FIRMANSYAH</v>
          </cell>
          <cell r="D59">
            <v>0</v>
          </cell>
          <cell r="E59">
            <v>0</v>
          </cell>
          <cell r="F59">
            <v>0</v>
          </cell>
          <cell r="G59">
            <v>0</v>
          </cell>
          <cell r="H59" t="str">
            <v>, 00 Januari 1900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row>
        <row r="60">
          <cell r="B60">
            <v>54</v>
          </cell>
          <cell r="C60" t="str">
            <v>NABILA AYUNINGTIAS</v>
          </cell>
          <cell r="D60">
            <v>0</v>
          </cell>
          <cell r="E60">
            <v>0</v>
          </cell>
          <cell r="F60">
            <v>0</v>
          </cell>
          <cell r="G60">
            <v>0</v>
          </cell>
          <cell r="H60" t="str">
            <v>, 00 Januari 1900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row>
        <row r="61">
          <cell r="B61">
            <v>55</v>
          </cell>
          <cell r="C61" t="str">
            <v>NARESWARI MASAYU PUSPANINGRUM</v>
          </cell>
          <cell r="D61">
            <v>0</v>
          </cell>
          <cell r="E61">
            <v>0</v>
          </cell>
          <cell r="F61">
            <v>0</v>
          </cell>
          <cell r="G61">
            <v>0</v>
          </cell>
          <cell r="H61" t="str">
            <v>, 00 Januari 1900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row>
        <row r="62">
          <cell r="B62">
            <v>56</v>
          </cell>
          <cell r="C62" t="str">
            <v>NOVA SASMYTA</v>
          </cell>
          <cell r="D62">
            <v>0</v>
          </cell>
          <cell r="E62">
            <v>0</v>
          </cell>
          <cell r="F62">
            <v>0</v>
          </cell>
          <cell r="G62">
            <v>0</v>
          </cell>
          <cell r="H62" t="str">
            <v>, 00 Januari 1900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row>
        <row r="63">
          <cell r="B63">
            <v>57</v>
          </cell>
          <cell r="C63" t="str">
            <v>RIDHA RAHMATUL AULA RIDWAN</v>
          </cell>
          <cell r="D63">
            <v>0</v>
          </cell>
          <cell r="E63">
            <v>0</v>
          </cell>
          <cell r="F63">
            <v>0</v>
          </cell>
          <cell r="G63">
            <v>0</v>
          </cell>
          <cell r="H63" t="str">
            <v>, 00 Januari 1900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row>
        <row r="64">
          <cell r="B64">
            <v>58</v>
          </cell>
          <cell r="C64" t="str">
            <v>RIFDA SALSABILA PURNAMA</v>
          </cell>
          <cell r="D64">
            <v>0</v>
          </cell>
          <cell r="E64">
            <v>0</v>
          </cell>
          <cell r="F64">
            <v>0</v>
          </cell>
          <cell r="G64">
            <v>0</v>
          </cell>
          <cell r="H64" t="str">
            <v>, 00 Januari 1900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row>
        <row r="65">
          <cell r="B65">
            <v>59</v>
          </cell>
          <cell r="C65" t="str">
            <v>RIZKI INTAN KURNIAENDAH</v>
          </cell>
          <cell r="D65">
            <v>0</v>
          </cell>
          <cell r="E65">
            <v>0</v>
          </cell>
          <cell r="F65">
            <v>0</v>
          </cell>
          <cell r="G65">
            <v>0</v>
          </cell>
          <cell r="H65" t="str">
            <v>, 00 Januari 1900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row>
        <row r="66">
          <cell r="B66">
            <v>60</v>
          </cell>
          <cell r="C66" t="str">
            <v>RIZKY FIRMANSYAH</v>
          </cell>
          <cell r="D66">
            <v>0</v>
          </cell>
          <cell r="E66">
            <v>0</v>
          </cell>
          <cell r="F66">
            <v>0</v>
          </cell>
          <cell r="G66">
            <v>0</v>
          </cell>
          <cell r="H66" t="str">
            <v>, 00 Januari 1900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row>
      </sheetData>
      <sheetData sheetId="4"/>
      <sheetData sheetId="5"/>
      <sheetData sheetId="6"/>
      <sheetData sheetId="7"/>
      <sheetData sheetId="8"/>
      <sheetData sheetId="9">
        <row r="7">
          <cell r="A7">
            <v>1</v>
          </cell>
          <cell r="B7" t="str">
            <v>AZKA AFINA KHOIRUL IZA</v>
          </cell>
          <cell r="C7">
            <v>20</v>
          </cell>
          <cell r="D7">
            <v>5</v>
          </cell>
          <cell r="E7">
            <v>20</v>
          </cell>
          <cell r="F7">
            <v>5</v>
          </cell>
          <cell r="G7">
            <v>10</v>
          </cell>
          <cell r="H7">
            <v>10</v>
          </cell>
          <cell r="I7">
            <v>0</v>
          </cell>
          <cell r="J7">
            <v>10</v>
          </cell>
          <cell r="K7">
            <v>16</v>
          </cell>
          <cell r="L7">
            <v>4</v>
          </cell>
          <cell r="M7">
            <v>16</v>
          </cell>
          <cell r="N7">
            <v>4</v>
          </cell>
          <cell r="O7">
            <v>8</v>
          </cell>
          <cell r="P7">
            <v>8</v>
          </cell>
          <cell r="Q7">
            <v>0</v>
          </cell>
          <cell r="R7">
            <v>8</v>
          </cell>
          <cell r="S7">
            <v>36</v>
          </cell>
          <cell r="T7">
            <v>9</v>
          </cell>
          <cell r="U7">
            <v>36</v>
          </cell>
          <cell r="V7">
            <v>9</v>
          </cell>
          <cell r="W7">
            <v>18</v>
          </cell>
          <cell r="X7">
            <v>18</v>
          </cell>
          <cell r="Y7">
            <v>0</v>
          </cell>
          <cell r="Z7">
            <v>18</v>
          </cell>
          <cell r="AA7" t="str">
            <v xml:space="preserve">Ananda AZKA AFINA KHOIRUL IZA sangat baik dalam ketaatan beribadah, berperilaku syukur, dan sudah mampu meningkatkan sikap toleransi dalam beribadah, </v>
          </cell>
        </row>
        <row r="8">
          <cell r="A8">
            <v>2</v>
          </cell>
          <cell r="B8" t="str">
            <v>BAGUS WIDA KANAKA</v>
          </cell>
          <cell r="C8">
            <v>20</v>
          </cell>
          <cell r="D8">
            <v>5</v>
          </cell>
          <cell r="E8">
            <v>20</v>
          </cell>
          <cell r="F8">
            <v>5</v>
          </cell>
          <cell r="G8">
            <v>10</v>
          </cell>
          <cell r="H8">
            <v>10</v>
          </cell>
          <cell r="I8">
            <v>0</v>
          </cell>
          <cell r="J8">
            <v>10</v>
          </cell>
          <cell r="K8">
            <v>16</v>
          </cell>
          <cell r="L8">
            <v>4</v>
          </cell>
          <cell r="M8">
            <v>16</v>
          </cell>
          <cell r="N8">
            <v>4</v>
          </cell>
          <cell r="O8">
            <v>8</v>
          </cell>
          <cell r="P8">
            <v>8</v>
          </cell>
          <cell r="Q8">
            <v>0</v>
          </cell>
          <cell r="R8">
            <v>8</v>
          </cell>
          <cell r="S8">
            <v>36</v>
          </cell>
          <cell r="T8">
            <v>9</v>
          </cell>
          <cell r="U8">
            <v>36</v>
          </cell>
          <cell r="V8">
            <v>9</v>
          </cell>
          <cell r="W8">
            <v>18</v>
          </cell>
          <cell r="X8">
            <v>18</v>
          </cell>
          <cell r="Y8">
            <v>0</v>
          </cell>
          <cell r="Z8">
            <v>18</v>
          </cell>
          <cell r="AA8" t="str">
            <v xml:space="preserve">Ananda BAGUS WIDA KANAKA sangat baik dalam ketaatan beribadah, berperilaku syukur, dan sudah mampu meningkatkan sikap toleransi dalam beribadah, </v>
          </cell>
        </row>
        <row r="9">
          <cell r="A9">
            <v>3</v>
          </cell>
          <cell r="B9" t="str">
            <v>DENI FIRYA ATHALLAH PRADINAYA</v>
          </cell>
          <cell r="C9">
            <v>20</v>
          </cell>
          <cell r="D9">
            <v>5</v>
          </cell>
          <cell r="E9">
            <v>20</v>
          </cell>
          <cell r="F9">
            <v>5</v>
          </cell>
          <cell r="G9">
            <v>10</v>
          </cell>
          <cell r="H9">
            <v>10</v>
          </cell>
          <cell r="I9">
            <v>0</v>
          </cell>
          <cell r="J9">
            <v>10</v>
          </cell>
          <cell r="K9">
            <v>16</v>
          </cell>
          <cell r="L9">
            <v>4</v>
          </cell>
          <cell r="M9">
            <v>16</v>
          </cell>
          <cell r="N9">
            <v>4</v>
          </cell>
          <cell r="O9">
            <v>8</v>
          </cell>
          <cell r="P9">
            <v>8</v>
          </cell>
          <cell r="Q9">
            <v>0</v>
          </cell>
          <cell r="R9">
            <v>8</v>
          </cell>
          <cell r="S9">
            <v>36</v>
          </cell>
          <cell r="T9">
            <v>9</v>
          </cell>
          <cell r="U9">
            <v>36</v>
          </cell>
          <cell r="V9">
            <v>9</v>
          </cell>
          <cell r="W9">
            <v>18</v>
          </cell>
          <cell r="X9">
            <v>18</v>
          </cell>
          <cell r="Y9">
            <v>0</v>
          </cell>
          <cell r="Z9">
            <v>18</v>
          </cell>
          <cell r="AA9" t="str">
            <v xml:space="preserve">Ananda DENI FIRYA ATHALLAH PRADINAYA sangat baik dalam ketaatan beribadah, berperilaku syukur, dan sudah mampu meningkatkan sikap toleransi dalam beribadah, </v>
          </cell>
        </row>
        <row r="10">
          <cell r="A10">
            <v>4</v>
          </cell>
          <cell r="B10" t="str">
            <v>DEWI GALUH MULANSARI</v>
          </cell>
          <cell r="C10">
            <v>20</v>
          </cell>
          <cell r="D10">
            <v>5</v>
          </cell>
          <cell r="E10">
            <v>20</v>
          </cell>
          <cell r="F10">
            <v>5</v>
          </cell>
          <cell r="G10">
            <v>10</v>
          </cell>
          <cell r="H10">
            <v>10</v>
          </cell>
          <cell r="I10">
            <v>0</v>
          </cell>
          <cell r="J10">
            <v>10</v>
          </cell>
          <cell r="K10">
            <v>16</v>
          </cell>
          <cell r="L10">
            <v>4</v>
          </cell>
          <cell r="M10">
            <v>16</v>
          </cell>
          <cell r="N10">
            <v>4</v>
          </cell>
          <cell r="O10">
            <v>8</v>
          </cell>
          <cell r="P10">
            <v>8</v>
          </cell>
          <cell r="Q10">
            <v>0</v>
          </cell>
          <cell r="R10">
            <v>8</v>
          </cell>
          <cell r="S10">
            <v>36</v>
          </cell>
          <cell r="T10">
            <v>9</v>
          </cell>
          <cell r="U10">
            <v>36</v>
          </cell>
          <cell r="V10">
            <v>9</v>
          </cell>
          <cell r="W10">
            <v>18</v>
          </cell>
          <cell r="X10">
            <v>18</v>
          </cell>
          <cell r="Y10">
            <v>0</v>
          </cell>
          <cell r="Z10">
            <v>18</v>
          </cell>
          <cell r="AA10" t="str">
            <v xml:space="preserve">Ananda DEWI GALUH MULANSARI sangat baik dalam ketaatan beribadah, berperilaku syukur, dan sudah mampu meningkatkan sikap toleransi dalam beribadah, </v>
          </cell>
        </row>
        <row r="11">
          <cell r="A11">
            <v>5</v>
          </cell>
          <cell r="B11" t="str">
            <v>DIAN PUJI LESTARI</v>
          </cell>
          <cell r="C11">
            <v>20</v>
          </cell>
          <cell r="D11">
            <v>5</v>
          </cell>
          <cell r="E11">
            <v>20</v>
          </cell>
          <cell r="F11">
            <v>5</v>
          </cell>
          <cell r="G11">
            <v>10</v>
          </cell>
          <cell r="H11">
            <v>10</v>
          </cell>
          <cell r="I11">
            <v>0</v>
          </cell>
          <cell r="J11">
            <v>10</v>
          </cell>
          <cell r="K11">
            <v>16</v>
          </cell>
          <cell r="L11">
            <v>4</v>
          </cell>
          <cell r="M11">
            <v>16</v>
          </cell>
          <cell r="N11">
            <v>4</v>
          </cell>
          <cell r="O11">
            <v>8</v>
          </cell>
          <cell r="P11">
            <v>8</v>
          </cell>
          <cell r="Q11">
            <v>0</v>
          </cell>
          <cell r="R11">
            <v>8</v>
          </cell>
          <cell r="S11">
            <v>36</v>
          </cell>
          <cell r="T11">
            <v>9</v>
          </cell>
          <cell r="U11">
            <v>36</v>
          </cell>
          <cell r="V11">
            <v>9</v>
          </cell>
          <cell r="W11">
            <v>18</v>
          </cell>
          <cell r="X11">
            <v>18</v>
          </cell>
          <cell r="Y11">
            <v>0</v>
          </cell>
          <cell r="Z11">
            <v>18</v>
          </cell>
          <cell r="AA11" t="str">
            <v xml:space="preserve">Ananda DIAN PUJI LESTARI sangat baik dalam ketaatan beribadah, berperilaku syukur, dan sudah mampu meningkatkan sikap toleransi dalam beribadah, </v>
          </cell>
        </row>
        <row r="12">
          <cell r="A12">
            <v>6</v>
          </cell>
          <cell r="B12" t="str">
            <v>Hafidz Langgeng Prasetyo</v>
          </cell>
          <cell r="C12">
            <v>20</v>
          </cell>
          <cell r="D12">
            <v>5</v>
          </cell>
          <cell r="E12">
            <v>20</v>
          </cell>
          <cell r="F12">
            <v>5</v>
          </cell>
          <cell r="G12">
            <v>10</v>
          </cell>
          <cell r="H12">
            <v>10</v>
          </cell>
          <cell r="I12">
            <v>0</v>
          </cell>
          <cell r="J12">
            <v>10</v>
          </cell>
          <cell r="K12">
            <v>16</v>
          </cell>
          <cell r="L12">
            <v>4</v>
          </cell>
          <cell r="M12">
            <v>16</v>
          </cell>
          <cell r="N12">
            <v>4</v>
          </cell>
          <cell r="O12">
            <v>8</v>
          </cell>
          <cell r="P12">
            <v>8</v>
          </cell>
          <cell r="Q12">
            <v>0</v>
          </cell>
          <cell r="R12">
            <v>8</v>
          </cell>
          <cell r="S12">
            <v>36</v>
          </cell>
          <cell r="T12">
            <v>9</v>
          </cell>
          <cell r="U12">
            <v>36</v>
          </cell>
          <cell r="V12">
            <v>9</v>
          </cell>
          <cell r="W12">
            <v>18</v>
          </cell>
          <cell r="X12">
            <v>18</v>
          </cell>
          <cell r="Y12">
            <v>0</v>
          </cell>
          <cell r="Z12">
            <v>18</v>
          </cell>
          <cell r="AA12" t="str">
            <v xml:space="preserve">Ananda Hafidz Langgeng Prasetyo sangat baik dalam ketaatan beribadah, berperilaku syukur, dan sudah mampu meningkatkan sikap toleransi dalam beribadah, </v>
          </cell>
        </row>
        <row r="13">
          <cell r="A13">
            <v>7</v>
          </cell>
          <cell r="B13" t="str">
            <v>JALU ARTHA AJI MANGGALA HANDOKO</v>
          </cell>
          <cell r="C13">
            <v>20</v>
          </cell>
          <cell r="D13">
            <v>5</v>
          </cell>
          <cell r="E13">
            <v>20</v>
          </cell>
          <cell r="F13">
            <v>5</v>
          </cell>
          <cell r="G13">
            <v>10</v>
          </cell>
          <cell r="H13">
            <v>10</v>
          </cell>
          <cell r="I13">
            <v>0</v>
          </cell>
          <cell r="J13">
            <v>10</v>
          </cell>
          <cell r="K13">
            <v>16</v>
          </cell>
          <cell r="L13">
            <v>4</v>
          </cell>
          <cell r="M13">
            <v>16</v>
          </cell>
          <cell r="N13">
            <v>4</v>
          </cell>
          <cell r="O13">
            <v>8</v>
          </cell>
          <cell r="P13">
            <v>8</v>
          </cell>
          <cell r="Q13">
            <v>0</v>
          </cell>
          <cell r="R13">
            <v>8</v>
          </cell>
          <cell r="S13">
            <v>36</v>
          </cell>
          <cell r="T13">
            <v>9</v>
          </cell>
          <cell r="U13">
            <v>36</v>
          </cell>
          <cell r="V13">
            <v>9</v>
          </cell>
          <cell r="W13">
            <v>18</v>
          </cell>
          <cell r="X13">
            <v>18</v>
          </cell>
          <cell r="Y13">
            <v>0</v>
          </cell>
          <cell r="Z13">
            <v>18</v>
          </cell>
          <cell r="AA13" t="str">
            <v xml:space="preserve">Ananda JALU ARTHA AJI MANGGALA HANDOKO sangat baik dalam ketaatan beribadah, berperilaku syukur, dan sudah mampu meningkatkan sikap toleransi dalam beribadah, </v>
          </cell>
        </row>
        <row r="14">
          <cell r="A14">
            <v>8</v>
          </cell>
          <cell r="B14" t="str">
            <v>LAURENDHO RADIEFCA MURDIONO</v>
          </cell>
          <cell r="C14">
            <v>20</v>
          </cell>
          <cell r="D14">
            <v>5</v>
          </cell>
          <cell r="E14">
            <v>20</v>
          </cell>
          <cell r="F14">
            <v>5</v>
          </cell>
          <cell r="G14">
            <v>10</v>
          </cell>
          <cell r="H14">
            <v>10</v>
          </cell>
          <cell r="I14">
            <v>0</v>
          </cell>
          <cell r="J14">
            <v>10</v>
          </cell>
          <cell r="K14">
            <v>16</v>
          </cell>
          <cell r="L14">
            <v>4</v>
          </cell>
          <cell r="M14">
            <v>16</v>
          </cell>
          <cell r="N14">
            <v>4</v>
          </cell>
          <cell r="O14">
            <v>8</v>
          </cell>
          <cell r="P14">
            <v>8</v>
          </cell>
          <cell r="Q14">
            <v>0</v>
          </cell>
          <cell r="R14">
            <v>8</v>
          </cell>
          <cell r="S14">
            <v>36</v>
          </cell>
          <cell r="T14">
            <v>9</v>
          </cell>
          <cell r="U14">
            <v>36</v>
          </cell>
          <cell r="V14">
            <v>9</v>
          </cell>
          <cell r="W14">
            <v>18</v>
          </cell>
          <cell r="X14">
            <v>18</v>
          </cell>
          <cell r="Y14">
            <v>0</v>
          </cell>
          <cell r="Z14">
            <v>18</v>
          </cell>
          <cell r="AA14" t="str">
            <v xml:space="preserve">Ananda LAURENDHO RADIEFCA MURDIONO sangat baik dalam ketaatan beribadah, berperilaku syukur, dan sudah mampu meningkatkan sikap toleransi dalam beribadah, </v>
          </cell>
        </row>
        <row r="15">
          <cell r="A15">
            <v>9</v>
          </cell>
          <cell r="B15" t="str">
            <v>MARSYA MAYDINA DWI RISQITA</v>
          </cell>
          <cell r="C15">
            <v>20</v>
          </cell>
          <cell r="D15">
            <v>5</v>
          </cell>
          <cell r="E15">
            <v>20</v>
          </cell>
          <cell r="F15">
            <v>5</v>
          </cell>
          <cell r="G15">
            <v>10</v>
          </cell>
          <cell r="H15">
            <v>10</v>
          </cell>
          <cell r="I15">
            <v>0</v>
          </cell>
          <cell r="J15">
            <v>10</v>
          </cell>
          <cell r="K15">
            <v>16</v>
          </cell>
          <cell r="L15">
            <v>4</v>
          </cell>
          <cell r="M15">
            <v>16</v>
          </cell>
          <cell r="N15">
            <v>4</v>
          </cell>
          <cell r="O15">
            <v>8</v>
          </cell>
          <cell r="P15">
            <v>8</v>
          </cell>
          <cell r="Q15">
            <v>0</v>
          </cell>
          <cell r="R15">
            <v>8</v>
          </cell>
          <cell r="S15">
            <v>36</v>
          </cell>
          <cell r="T15">
            <v>9</v>
          </cell>
          <cell r="U15">
            <v>36</v>
          </cell>
          <cell r="V15">
            <v>9</v>
          </cell>
          <cell r="W15">
            <v>18</v>
          </cell>
          <cell r="X15">
            <v>18</v>
          </cell>
          <cell r="Y15">
            <v>0</v>
          </cell>
          <cell r="Z15">
            <v>18</v>
          </cell>
          <cell r="AA15" t="str">
            <v xml:space="preserve">Ananda MARSYA MAYDINA DWI RISQITA sangat baik dalam ketaatan beribadah, berperilaku syukur, dan sudah mampu meningkatkan sikap toleransi dalam beribadah, </v>
          </cell>
        </row>
        <row r="16">
          <cell r="A16">
            <v>10</v>
          </cell>
          <cell r="B16" t="str">
            <v>MILA SARASWATI</v>
          </cell>
          <cell r="C16">
            <v>20</v>
          </cell>
          <cell r="D16">
            <v>5</v>
          </cell>
          <cell r="E16">
            <v>20</v>
          </cell>
          <cell r="F16">
            <v>5</v>
          </cell>
          <cell r="G16">
            <v>10</v>
          </cell>
          <cell r="H16">
            <v>10</v>
          </cell>
          <cell r="I16">
            <v>0</v>
          </cell>
          <cell r="J16">
            <v>10</v>
          </cell>
          <cell r="K16">
            <v>16</v>
          </cell>
          <cell r="L16">
            <v>4</v>
          </cell>
          <cell r="M16">
            <v>16</v>
          </cell>
          <cell r="N16">
            <v>4</v>
          </cell>
          <cell r="O16">
            <v>8</v>
          </cell>
          <cell r="P16">
            <v>8</v>
          </cell>
          <cell r="Q16">
            <v>0</v>
          </cell>
          <cell r="R16">
            <v>8</v>
          </cell>
          <cell r="S16">
            <v>36</v>
          </cell>
          <cell r="T16">
            <v>9</v>
          </cell>
          <cell r="U16">
            <v>36</v>
          </cell>
          <cell r="V16">
            <v>9</v>
          </cell>
          <cell r="W16">
            <v>18</v>
          </cell>
          <cell r="X16">
            <v>18</v>
          </cell>
          <cell r="Y16">
            <v>0</v>
          </cell>
          <cell r="Z16">
            <v>18</v>
          </cell>
          <cell r="AA16" t="str">
            <v xml:space="preserve">Ananda MILA SARASWATI sangat baik dalam ketaatan beribadah, berperilaku syukur, dan sudah mampu meningkatkan sikap toleransi dalam beribadah, </v>
          </cell>
        </row>
        <row r="17">
          <cell r="A17">
            <v>11</v>
          </cell>
          <cell r="B17" t="str">
            <v>MUHAMMAD ARKAN ALLY RACHMAD</v>
          </cell>
          <cell r="C17">
            <v>20</v>
          </cell>
          <cell r="D17">
            <v>5</v>
          </cell>
          <cell r="E17">
            <v>20</v>
          </cell>
          <cell r="F17">
            <v>5</v>
          </cell>
          <cell r="G17">
            <v>10</v>
          </cell>
          <cell r="H17">
            <v>10</v>
          </cell>
          <cell r="I17">
            <v>0</v>
          </cell>
          <cell r="J17">
            <v>10</v>
          </cell>
          <cell r="K17">
            <v>16</v>
          </cell>
          <cell r="L17">
            <v>4</v>
          </cell>
          <cell r="M17">
            <v>16</v>
          </cell>
          <cell r="N17">
            <v>4</v>
          </cell>
          <cell r="O17">
            <v>8</v>
          </cell>
          <cell r="P17">
            <v>8</v>
          </cell>
          <cell r="Q17">
            <v>0</v>
          </cell>
          <cell r="R17">
            <v>8</v>
          </cell>
          <cell r="S17">
            <v>36</v>
          </cell>
          <cell r="T17">
            <v>9</v>
          </cell>
          <cell r="U17">
            <v>36</v>
          </cell>
          <cell r="V17">
            <v>9</v>
          </cell>
          <cell r="W17">
            <v>18</v>
          </cell>
          <cell r="X17">
            <v>18</v>
          </cell>
          <cell r="Y17">
            <v>0</v>
          </cell>
          <cell r="Z17">
            <v>18</v>
          </cell>
          <cell r="AA17" t="str">
            <v xml:space="preserve">Ananda MUHAMMAD ARKAN ALLY RACHMAD sangat baik dalam ketaatan beribadah, berperilaku syukur, dan sudah mampu meningkatkan sikap toleransi dalam beribadah, </v>
          </cell>
        </row>
        <row r="18">
          <cell r="A18">
            <v>12</v>
          </cell>
          <cell r="B18" t="str">
            <v>MUHAMMAD REVIAN ABDULLOH FAQIH</v>
          </cell>
          <cell r="C18">
            <v>20</v>
          </cell>
          <cell r="D18">
            <v>5</v>
          </cell>
          <cell r="E18">
            <v>20</v>
          </cell>
          <cell r="F18">
            <v>5</v>
          </cell>
          <cell r="G18">
            <v>10</v>
          </cell>
          <cell r="H18">
            <v>10</v>
          </cell>
          <cell r="I18">
            <v>0</v>
          </cell>
          <cell r="J18">
            <v>10</v>
          </cell>
          <cell r="K18">
            <v>16</v>
          </cell>
          <cell r="L18">
            <v>4</v>
          </cell>
          <cell r="M18">
            <v>16</v>
          </cell>
          <cell r="N18">
            <v>4</v>
          </cell>
          <cell r="O18">
            <v>8</v>
          </cell>
          <cell r="P18">
            <v>8</v>
          </cell>
          <cell r="Q18">
            <v>0</v>
          </cell>
          <cell r="R18">
            <v>8</v>
          </cell>
          <cell r="S18">
            <v>36</v>
          </cell>
          <cell r="T18">
            <v>9</v>
          </cell>
          <cell r="U18">
            <v>36</v>
          </cell>
          <cell r="V18">
            <v>9</v>
          </cell>
          <cell r="W18">
            <v>18</v>
          </cell>
          <cell r="X18">
            <v>18</v>
          </cell>
          <cell r="Y18">
            <v>0</v>
          </cell>
          <cell r="Z18">
            <v>18</v>
          </cell>
          <cell r="AA18" t="str">
            <v xml:space="preserve">Ananda MUHAMMAD REVIAN ABDULLOH FAQIH sangat baik dalam ketaatan beribadah, berperilaku syukur, dan sudah mampu meningkatkan sikap toleransi dalam beribadah, </v>
          </cell>
        </row>
        <row r="19">
          <cell r="A19">
            <v>13</v>
          </cell>
          <cell r="B19" t="str">
            <v>NABILA AYUNINGTIAS</v>
          </cell>
          <cell r="C19">
            <v>20</v>
          </cell>
          <cell r="D19">
            <v>5</v>
          </cell>
          <cell r="E19">
            <v>20</v>
          </cell>
          <cell r="F19">
            <v>5</v>
          </cell>
          <cell r="G19">
            <v>10</v>
          </cell>
          <cell r="H19">
            <v>10</v>
          </cell>
          <cell r="I19">
            <v>0</v>
          </cell>
          <cell r="J19">
            <v>10</v>
          </cell>
          <cell r="K19">
            <v>16</v>
          </cell>
          <cell r="L19">
            <v>4</v>
          </cell>
          <cell r="M19">
            <v>16</v>
          </cell>
          <cell r="N19">
            <v>4</v>
          </cell>
          <cell r="O19">
            <v>8</v>
          </cell>
          <cell r="P19">
            <v>8</v>
          </cell>
          <cell r="Q19">
            <v>0</v>
          </cell>
          <cell r="R19">
            <v>8</v>
          </cell>
          <cell r="S19">
            <v>36</v>
          </cell>
          <cell r="T19">
            <v>9</v>
          </cell>
          <cell r="U19">
            <v>36</v>
          </cell>
          <cell r="V19">
            <v>9</v>
          </cell>
          <cell r="W19">
            <v>18</v>
          </cell>
          <cell r="X19">
            <v>18</v>
          </cell>
          <cell r="Y19">
            <v>0</v>
          </cell>
          <cell r="Z19">
            <v>18</v>
          </cell>
          <cell r="AA19" t="str">
            <v xml:space="preserve">Ananda NABILA AYUNINGTIAS sangat baik dalam ketaatan beribadah, berperilaku syukur, dan sudah mampu meningkatkan sikap toleransi dalam beribadah, </v>
          </cell>
        </row>
        <row r="20">
          <cell r="A20">
            <v>14</v>
          </cell>
          <cell r="B20" t="str">
            <v>NARESWARI MASAYU PUSPANINGRUM</v>
          </cell>
          <cell r="C20">
            <v>20</v>
          </cell>
          <cell r="D20">
            <v>5</v>
          </cell>
          <cell r="E20">
            <v>20</v>
          </cell>
          <cell r="F20">
            <v>5</v>
          </cell>
          <cell r="G20">
            <v>10</v>
          </cell>
          <cell r="H20">
            <v>10</v>
          </cell>
          <cell r="I20">
            <v>0</v>
          </cell>
          <cell r="J20">
            <v>10</v>
          </cell>
          <cell r="K20">
            <v>16</v>
          </cell>
          <cell r="L20">
            <v>4</v>
          </cell>
          <cell r="M20">
            <v>16</v>
          </cell>
          <cell r="N20">
            <v>4</v>
          </cell>
          <cell r="O20">
            <v>8</v>
          </cell>
          <cell r="P20">
            <v>8</v>
          </cell>
          <cell r="Q20">
            <v>0</v>
          </cell>
          <cell r="R20">
            <v>8</v>
          </cell>
          <cell r="S20">
            <v>36</v>
          </cell>
          <cell r="T20">
            <v>9</v>
          </cell>
          <cell r="U20">
            <v>36</v>
          </cell>
          <cell r="V20">
            <v>9</v>
          </cell>
          <cell r="W20">
            <v>18</v>
          </cell>
          <cell r="X20">
            <v>18</v>
          </cell>
          <cell r="Y20">
            <v>0</v>
          </cell>
          <cell r="Z20">
            <v>18</v>
          </cell>
          <cell r="AA20" t="str">
            <v xml:space="preserve">Ananda NARESWARI MASAYU PUSPANINGRUM sangat baik dalam ketaatan beribadah, berperilaku syukur, dan sudah mampu meningkatkan sikap toleransi dalam beribadah, </v>
          </cell>
        </row>
        <row r="21">
          <cell r="A21">
            <v>15</v>
          </cell>
          <cell r="B21" t="str">
            <v>NOVA SASMYTA</v>
          </cell>
          <cell r="C21">
            <v>20</v>
          </cell>
          <cell r="D21">
            <v>5</v>
          </cell>
          <cell r="E21">
            <v>20</v>
          </cell>
          <cell r="F21">
            <v>5</v>
          </cell>
          <cell r="G21">
            <v>10</v>
          </cell>
          <cell r="H21">
            <v>10</v>
          </cell>
          <cell r="I21">
            <v>0</v>
          </cell>
          <cell r="J21">
            <v>10</v>
          </cell>
          <cell r="K21">
            <v>16</v>
          </cell>
          <cell r="L21">
            <v>4</v>
          </cell>
          <cell r="M21">
            <v>16</v>
          </cell>
          <cell r="N21">
            <v>4</v>
          </cell>
          <cell r="O21">
            <v>8</v>
          </cell>
          <cell r="P21">
            <v>8</v>
          </cell>
          <cell r="Q21">
            <v>0</v>
          </cell>
          <cell r="R21">
            <v>8</v>
          </cell>
          <cell r="S21">
            <v>36</v>
          </cell>
          <cell r="T21">
            <v>9</v>
          </cell>
          <cell r="U21">
            <v>36</v>
          </cell>
          <cell r="V21">
            <v>9</v>
          </cell>
          <cell r="W21">
            <v>18</v>
          </cell>
          <cell r="X21">
            <v>18</v>
          </cell>
          <cell r="Y21">
            <v>0</v>
          </cell>
          <cell r="Z21">
            <v>18</v>
          </cell>
          <cell r="AA21" t="str">
            <v xml:space="preserve">Ananda NOVA SASMYTA sangat baik dalam ketaatan beribadah, berperilaku syukur, dan sudah mampu meningkatkan sikap toleransi dalam beribadah, </v>
          </cell>
        </row>
        <row r="22">
          <cell r="A22">
            <v>16</v>
          </cell>
          <cell r="B22" t="str">
            <v>RIDHA RAHMATUL AULA RIDWAN</v>
          </cell>
          <cell r="C22">
            <v>20</v>
          </cell>
          <cell r="D22">
            <v>5</v>
          </cell>
          <cell r="E22">
            <v>20</v>
          </cell>
          <cell r="F22">
            <v>5</v>
          </cell>
          <cell r="G22">
            <v>10</v>
          </cell>
          <cell r="H22">
            <v>10</v>
          </cell>
          <cell r="I22">
            <v>0</v>
          </cell>
          <cell r="J22">
            <v>10</v>
          </cell>
          <cell r="K22">
            <v>16</v>
          </cell>
          <cell r="L22">
            <v>4</v>
          </cell>
          <cell r="M22">
            <v>16</v>
          </cell>
          <cell r="N22">
            <v>4</v>
          </cell>
          <cell r="O22">
            <v>8</v>
          </cell>
          <cell r="P22">
            <v>8</v>
          </cell>
          <cell r="Q22">
            <v>0</v>
          </cell>
          <cell r="R22">
            <v>8</v>
          </cell>
          <cell r="S22">
            <v>36</v>
          </cell>
          <cell r="T22">
            <v>9</v>
          </cell>
          <cell r="U22">
            <v>36</v>
          </cell>
          <cell r="V22">
            <v>9</v>
          </cell>
          <cell r="W22">
            <v>18</v>
          </cell>
          <cell r="X22">
            <v>18</v>
          </cell>
          <cell r="Y22">
            <v>0</v>
          </cell>
          <cell r="Z22">
            <v>18</v>
          </cell>
          <cell r="AA22" t="str">
            <v xml:space="preserve">Ananda RIDHA RAHMATUL AULA RIDWAN sangat baik dalam ketaatan beribadah, berperilaku syukur, dan sudah mampu meningkatkan sikap toleransi dalam beribadah, </v>
          </cell>
        </row>
        <row r="23">
          <cell r="A23">
            <v>17</v>
          </cell>
          <cell r="B23" t="str">
            <v>RIFDA SALSABILA PURNAMA</v>
          </cell>
          <cell r="C23">
            <v>20</v>
          </cell>
          <cell r="D23">
            <v>5</v>
          </cell>
          <cell r="E23">
            <v>20</v>
          </cell>
          <cell r="F23">
            <v>5</v>
          </cell>
          <cell r="G23">
            <v>10</v>
          </cell>
          <cell r="H23">
            <v>10</v>
          </cell>
          <cell r="I23">
            <v>0</v>
          </cell>
          <cell r="J23">
            <v>10</v>
          </cell>
          <cell r="K23">
            <v>16</v>
          </cell>
          <cell r="L23">
            <v>4</v>
          </cell>
          <cell r="M23">
            <v>16</v>
          </cell>
          <cell r="N23">
            <v>4</v>
          </cell>
          <cell r="O23">
            <v>8</v>
          </cell>
          <cell r="P23">
            <v>8</v>
          </cell>
          <cell r="Q23">
            <v>0</v>
          </cell>
          <cell r="R23">
            <v>8</v>
          </cell>
          <cell r="S23">
            <v>36</v>
          </cell>
          <cell r="T23">
            <v>9</v>
          </cell>
          <cell r="U23">
            <v>36</v>
          </cell>
          <cell r="V23">
            <v>9</v>
          </cell>
          <cell r="W23">
            <v>18</v>
          </cell>
          <cell r="X23">
            <v>18</v>
          </cell>
          <cell r="Y23">
            <v>0</v>
          </cell>
          <cell r="Z23">
            <v>18</v>
          </cell>
          <cell r="AA23" t="str">
            <v xml:space="preserve">Ananda RIFDA SALSABILA PURNAMA sangat baik dalam ketaatan beribadah, berperilaku syukur, dan sudah mampu meningkatkan sikap toleransi dalam beribadah, </v>
          </cell>
        </row>
        <row r="24">
          <cell r="A24">
            <v>18</v>
          </cell>
          <cell r="B24" t="str">
            <v>RIZKI INTAN KURNIAENDAH</v>
          </cell>
          <cell r="C24">
            <v>20</v>
          </cell>
          <cell r="D24">
            <v>5</v>
          </cell>
          <cell r="E24">
            <v>20</v>
          </cell>
          <cell r="F24">
            <v>5</v>
          </cell>
          <cell r="G24">
            <v>10</v>
          </cell>
          <cell r="H24">
            <v>10</v>
          </cell>
          <cell r="I24">
            <v>0</v>
          </cell>
          <cell r="J24">
            <v>10</v>
          </cell>
          <cell r="K24">
            <v>16</v>
          </cell>
          <cell r="L24">
            <v>4</v>
          </cell>
          <cell r="M24">
            <v>16</v>
          </cell>
          <cell r="N24">
            <v>4</v>
          </cell>
          <cell r="O24">
            <v>8</v>
          </cell>
          <cell r="P24">
            <v>8</v>
          </cell>
          <cell r="Q24">
            <v>0</v>
          </cell>
          <cell r="R24">
            <v>8</v>
          </cell>
          <cell r="S24">
            <v>36</v>
          </cell>
          <cell r="T24">
            <v>9</v>
          </cell>
          <cell r="U24">
            <v>36</v>
          </cell>
          <cell r="V24">
            <v>9</v>
          </cell>
          <cell r="W24">
            <v>18</v>
          </cell>
          <cell r="X24">
            <v>18</v>
          </cell>
          <cell r="Y24">
            <v>0</v>
          </cell>
          <cell r="Z24">
            <v>18</v>
          </cell>
          <cell r="AA24" t="str">
            <v xml:space="preserve">Ananda RIZKI INTAN KURNIAENDAH sangat baik dalam ketaatan beribadah, berperilaku syukur, dan sudah mampu meningkatkan sikap toleransi dalam beribadah, </v>
          </cell>
        </row>
        <row r="25">
          <cell r="A25">
            <v>19</v>
          </cell>
          <cell r="B25" t="str">
            <v>RIZKY FIRMANSYAH</v>
          </cell>
          <cell r="C25">
            <v>20</v>
          </cell>
          <cell r="D25">
            <v>5</v>
          </cell>
          <cell r="E25">
            <v>20</v>
          </cell>
          <cell r="F25">
            <v>5</v>
          </cell>
          <cell r="G25">
            <v>10</v>
          </cell>
          <cell r="H25">
            <v>10</v>
          </cell>
          <cell r="I25">
            <v>0</v>
          </cell>
          <cell r="J25">
            <v>10</v>
          </cell>
          <cell r="K25">
            <v>16</v>
          </cell>
          <cell r="L25">
            <v>4</v>
          </cell>
          <cell r="M25">
            <v>16</v>
          </cell>
          <cell r="N25">
            <v>4</v>
          </cell>
          <cell r="O25">
            <v>8</v>
          </cell>
          <cell r="P25">
            <v>8</v>
          </cell>
          <cell r="Q25">
            <v>0</v>
          </cell>
          <cell r="R25">
            <v>8</v>
          </cell>
          <cell r="S25">
            <v>36</v>
          </cell>
          <cell r="T25">
            <v>9</v>
          </cell>
          <cell r="U25">
            <v>36</v>
          </cell>
          <cell r="V25">
            <v>9</v>
          </cell>
          <cell r="W25">
            <v>18</v>
          </cell>
          <cell r="X25">
            <v>18</v>
          </cell>
          <cell r="Y25">
            <v>0</v>
          </cell>
          <cell r="Z25">
            <v>18</v>
          </cell>
          <cell r="AA25" t="str">
            <v xml:space="preserve">Ananda RIZKY FIRMANSYAH sangat baik dalam ketaatan beribadah, berperilaku syukur, dan sudah mampu meningkatkan sikap toleransi dalam beribadah, </v>
          </cell>
        </row>
        <row r="26">
          <cell r="A26">
            <v>20</v>
          </cell>
          <cell r="B26" t="str">
            <v>SAFIRA NUR LAYLA RAMADHANI</v>
          </cell>
          <cell r="C26">
            <v>20</v>
          </cell>
          <cell r="D26">
            <v>5</v>
          </cell>
          <cell r="E26">
            <v>20</v>
          </cell>
          <cell r="F26">
            <v>5</v>
          </cell>
          <cell r="G26">
            <v>10</v>
          </cell>
          <cell r="H26">
            <v>10</v>
          </cell>
          <cell r="I26">
            <v>0</v>
          </cell>
          <cell r="J26">
            <v>10</v>
          </cell>
          <cell r="K26">
            <v>16</v>
          </cell>
          <cell r="L26">
            <v>4</v>
          </cell>
          <cell r="M26">
            <v>16</v>
          </cell>
          <cell r="N26">
            <v>4</v>
          </cell>
          <cell r="O26">
            <v>8</v>
          </cell>
          <cell r="P26">
            <v>8</v>
          </cell>
          <cell r="Q26">
            <v>0</v>
          </cell>
          <cell r="R26">
            <v>8</v>
          </cell>
          <cell r="S26">
            <v>36</v>
          </cell>
          <cell r="T26">
            <v>9</v>
          </cell>
          <cell r="U26">
            <v>36</v>
          </cell>
          <cell r="V26">
            <v>9</v>
          </cell>
          <cell r="W26">
            <v>18</v>
          </cell>
          <cell r="X26">
            <v>18</v>
          </cell>
          <cell r="Y26">
            <v>0</v>
          </cell>
          <cell r="Z26">
            <v>18</v>
          </cell>
          <cell r="AA26" t="str">
            <v xml:space="preserve">Ananda SAFIRA NUR LAYLA RAMADHANI sangat baik dalam ketaatan beribadah, berperilaku syukur, dan sudah mampu meningkatkan sikap toleransi dalam beribadah, </v>
          </cell>
        </row>
        <row r="27">
          <cell r="A27">
            <v>21</v>
          </cell>
          <cell r="B27" t="str">
            <v>SHANASTRI RUFAIDA</v>
          </cell>
          <cell r="C27">
            <v>20</v>
          </cell>
          <cell r="D27">
            <v>5</v>
          </cell>
          <cell r="E27">
            <v>20</v>
          </cell>
          <cell r="F27">
            <v>5</v>
          </cell>
          <cell r="G27">
            <v>10</v>
          </cell>
          <cell r="H27">
            <v>10</v>
          </cell>
          <cell r="I27">
            <v>0</v>
          </cell>
          <cell r="J27">
            <v>10</v>
          </cell>
          <cell r="K27">
            <v>16</v>
          </cell>
          <cell r="L27">
            <v>4</v>
          </cell>
          <cell r="M27">
            <v>16</v>
          </cell>
          <cell r="N27">
            <v>4</v>
          </cell>
          <cell r="O27">
            <v>8</v>
          </cell>
          <cell r="P27">
            <v>8</v>
          </cell>
          <cell r="Q27">
            <v>0</v>
          </cell>
          <cell r="R27">
            <v>8</v>
          </cell>
          <cell r="S27">
            <v>36</v>
          </cell>
          <cell r="T27">
            <v>9</v>
          </cell>
          <cell r="U27">
            <v>36</v>
          </cell>
          <cell r="V27">
            <v>9</v>
          </cell>
          <cell r="W27">
            <v>18</v>
          </cell>
          <cell r="X27">
            <v>18</v>
          </cell>
          <cell r="Y27">
            <v>0</v>
          </cell>
          <cell r="Z27">
            <v>18</v>
          </cell>
          <cell r="AA27" t="str">
            <v xml:space="preserve">Ananda SHANASTRI RUFAIDA sangat baik dalam ketaatan beribadah, berperilaku syukur, dan sudah mampu meningkatkan sikap toleransi dalam beribadah, </v>
          </cell>
        </row>
        <row r="28">
          <cell r="A28">
            <v>22</v>
          </cell>
          <cell r="B28" t="str">
            <v>SHIAM SAHARA</v>
          </cell>
          <cell r="C28">
            <v>20</v>
          </cell>
          <cell r="D28">
            <v>5</v>
          </cell>
          <cell r="E28">
            <v>20</v>
          </cell>
          <cell r="F28">
            <v>5</v>
          </cell>
          <cell r="G28">
            <v>10</v>
          </cell>
          <cell r="H28">
            <v>10</v>
          </cell>
          <cell r="I28">
            <v>0</v>
          </cell>
          <cell r="J28">
            <v>10</v>
          </cell>
          <cell r="K28">
            <v>16</v>
          </cell>
          <cell r="L28">
            <v>4</v>
          </cell>
          <cell r="M28">
            <v>16</v>
          </cell>
          <cell r="N28">
            <v>4</v>
          </cell>
          <cell r="O28">
            <v>8</v>
          </cell>
          <cell r="P28">
            <v>8</v>
          </cell>
          <cell r="Q28">
            <v>0</v>
          </cell>
          <cell r="R28">
            <v>8</v>
          </cell>
          <cell r="S28">
            <v>36</v>
          </cell>
          <cell r="T28">
            <v>9</v>
          </cell>
          <cell r="U28">
            <v>36</v>
          </cell>
          <cell r="V28">
            <v>9</v>
          </cell>
          <cell r="W28">
            <v>18</v>
          </cell>
          <cell r="X28">
            <v>18</v>
          </cell>
          <cell r="Y28">
            <v>0</v>
          </cell>
          <cell r="Z28">
            <v>18</v>
          </cell>
          <cell r="AA28" t="str">
            <v xml:space="preserve">Ananda SHIAM SAHARA sangat baik dalam ketaatan beribadah, berperilaku syukur, dan sudah mampu meningkatkan sikap toleransi dalam beribadah, </v>
          </cell>
        </row>
        <row r="29">
          <cell r="A29">
            <v>23</v>
          </cell>
          <cell r="B29" t="str">
            <v>SUSAN APRILIA PUTRI</v>
          </cell>
          <cell r="C29">
            <v>20</v>
          </cell>
          <cell r="D29">
            <v>5</v>
          </cell>
          <cell r="E29">
            <v>20</v>
          </cell>
          <cell r="F29">
            <v>5</v>
          </cell>
          <cell r="G29">
            <v>10</v>
          </cell>
          <cell r="H29">
            <v>10</v>
          </cell>
          <cell r="I29">
            <v>0</v>
          </cell>
          <cell r="J29">
            <v>10</v>
          </cell>
          <cell r="K29">
            <v>16</v>
          </cell>
          <cell r="L29">
            <v>4</v>
          </cell>
          <cell r="M29">
            <v>16</v>
          </cell>
          <cell r="N29">
            <v>4</v>
          </cell>
          <cell r="O29">
            <v>8</v>
          </cell>
          <cell r="P29">
            <v>8</v>
          </cell>
          <cell r="Q29">
            <v>0</v>
          </cell>
          <cell r="R29">
            <v>8</v>
          </cell>
          <cell r="S29">
            <v>36</v>
          </cell>
          <cell r="T29">
            <v>9</v>
          </cell>
          <cell r="U29">
            <v>36</v>
          </cell>
          <cell r="V29">
            <v>9</v>
          </cell>
          <cell r="W29">
            <v>18</v>
          </cell>
          <cell r="X29">
            <v>18</v>
          </cell>
          <cell r="Y29">
            <v>0</v>
          </cell>
          <cell r="Z29">
            <v>18</v>
          </cell>
          <cell r="AA29" t="str">
            <v xml:space="preserve">Ananda SUSAN APRILIA PUTRI sangat baik dalam ketaatan beribadah, berperilaku syukur, dan sudah mampu meningkatkan sikap toleransi dalam beribadah, </v>
          </cell>
        </row>
        <row r="30">
          <cell r="A30">
            <v>24</v>
          </cell>
          <cell r="B30" t="str">
            <v>SYIFAUL CHUSNA BANATU ROHMI HADI</v>
          </cell>
          <cell r="C30">
            <v>20</v>
          </cell>
          <cell r="D30">
            <v>5</v>
          </cell>
          <cell r="E30">
            <v>20</v>
          </cell>
          <cell r="F30">
            <v>5</v>
          </cell>
          <cell r="G30">
            <v>10</v>
          </cell>
          <cell r="H30">
            <v>10</v>
          </cell>
          <cell r="I30">
            <v>0</v>
          </cell>
          <cell r="J30">
            <v>10</v>
          </cell>
          <cell r="K30">
            <v>16</v>
          </cell>
          <cell r="L30">
            <v>4</v>
          </cell>
          <cell r="M30">
            <v>16</v>
          </cell>
          <cell r="N30">
            <v>4</v>
          </cell>
          <cell r="O30">
            <v>8</v>
          </cell>
          <cell r="P30">
            <v>8</v>
          </cell>
          <cell r="Q30">
            <v>0</v>
          </cell>
          <cell r="R30">
            <v>8</v>
          </cell>
          <cell r="S30">
            <v>36</v>
          </cell>
          <cell r="T30">
            <v>9</v>
          </cell>
          <cell r="U30">
            <v>36</v>
          </cell>
          <cell r="V30">
            <v>9</v>
          </cell>
          <cell r="W30">
            <v>18</v>
          </cell>
          <cell r="X30">
            <v>18</v>
          </cell>
          <cell r="Y30">
            <v>0</v>
          </cell>
          <cell r="Z30">
            <v>18</v>
          </cell>
          <cell r="AA30" t="str">
            <v xml:space="preserve">Ananda SYIFAUL CHUSNA BANATU ROHMI HADI sangat baik dalam ketaatan beribadah, berperilaku syukur, dan sudah mampu meningkatkan sikap toleransi dalam beribadah, </v>
          </cell>
        </row>
        <row r="31">
          <cell r="A31">
            <v>25</v>
          </cell>
          <cell r="B31" t="str">
            <v>VANESSA VICKY AYU LESTARI</v>
          </cell>
          <cell r="C31">
            <v>20</v>
          </cell>
          <cell r="D31">
            <v>5</v>
          </cell>
          <cell r="E31">
            <v>20</v>
          </cell>
          <cell r="F31">
            <v>5</v>
          </cell>
          <cell r="G31">
            <v>10</v>
          </cell>
          <cell r="H31">
            <v>10</v>
          </cell>
          <cell r="I31">
            <v>0</v>
          </cell>
          <cell r="J31">
            <v>10</v>
          </cell>
          <cell r="K31">
            <v>16</v>
          </cell>
          <cell r="L31">
            <v>4</v>
          </cell>
          <cell r="M31">
            <v>16</v>
          </cell>
          <cell r="N31">
            <v>4</v>
          </cell>
          <cell r="O31">
            <v>8</v>
          </cell>
          <cell r="P31">
            <v>8</v>
          </cell>
          <cell r="Q31">
            <v>0</v>
          </cell>
          <cell r="R31">
            <v>8</v>
          </cell>
          <cell r="S31">
            <v>36</v>
          </cell>
          <cell r="T31">
            <v>9</v>
          </cell>
          <cell r="U31">
            <v>36</v>
          </cell>
          <cell r="V31">
            <v>9</v>
          </cell>
          <cell r="W31">
            <v>18</v>
          </cell>
          <cell r="X31">
            <v>18</v>
          </cell>
          <cell r="Y31">
            <v>0</v>
          </cell>
          <cell r="Z31">
            <v>18</v>
          </cell>
          <cell r="AA31" t="str">
            <v xml:space="preserve">Ananda VANESSA VICKY AYU LESTARI sangat baik dalam ketaatan beribadah, berperilaku syukur, dan sudah mampu meningkatkan sikap toleransi dalam beribadah, </v>
          </cell>
        </row>
        <row r="32">
          <cell r="A32">
            <v>26</v>
          </cell>
          <cell r="B32" t="str">
            <v>WIBI NUR FIRMANSYAH</v>
          </cell>
          <cell r="C32">
            <v>20</v>
          </cell>
          <cell r="D32">
            <v>5</v>
          </cell>
          <cell r="E32">
            <v>20</v>
          </cell>
          <cell r="F32">
            <v>5</v>
          </cell>
          <cell r="G32">
            <v>10</v>
          </cell>
          <cell r="H32">
            <v>10</v>
          </cell>
          <cell r="I32">
            <v>0</v>
          </cell>
          <cell r="J32">
            <v>10</v>
          </cell>
          <cell r="K32">
            <v>16</v>
          </cell>
          <cell r="L32">
            <v>4</v>
          </cell>
          <cell r="M32">
            <v>16</v>
          </cell>
          <cell r="N32">
            <v>4</v>
          </cell>
          <cell r="O32">
            <v>8</v>
          </cell>
          <cell r="P32">
            <v>8</v>
          </cell>
          <cell r="Q32">
            <v>0</v>
          </cell>
          <cell r="R32">
            <v>8</v>
          </cell>
          <cell r="S32">
            <v>36</v>
          </cell>
          <cell r="T32">
            <v>9</v>
          </cell>
          <cell r="U32">
            <v>36</v>
          </cell>
          <cell r="V32">
            <v>9</v>
          </cell>
          <cell r="W32">
            <v>18</v>
          </cell>
          <cell r="X32">
            <v>18</v>
          </cell>
          <cell r="Y32">
            <v>0</v>
          </cell>
          <cell r="Z32">
            <v>18</v>
          </cell>
          <cell r="AA32" t="str">
            <v xml:space="preserve">Ananda WIBI NUR FIRMANSYAH sangat baik dalam ketaatan beribadah, berperilaku syukur, dan sudah mampu meningkatkan sikap toleransi dalam beribadah, </v>
          </cell>
        </row>
        <row r="33">
          <cell r="A33">
            <v>27</v>
          </cell>
          <cell r="B33" t="str">
            <v>ZULFIDA NURUL MAZIDAH</v>
          </cell>
          <cell r="C33">
            <v>20</v>
          </cell>
          <cell r="D33">
            <v>5</v>
          </cell>
          <cell r="E33">
            <v>20</v>
          </cell>
          <cell r="F33">
            <v>5</v>
          </cell>
          <cell r="G33">
            <v>10</v>
          </cell>
          <cell r="H33">
            <v>10</v>
          </cell>
          <cell r="I33">
            <v>0</v>
          </cell>
          <cell r="J33">
            <v>10</v>
          </cell>
          <cell r="K33">
            <v>16</v>
          </cell>
          <cell r="L33">
            <v>4</v>
          </cell>
          <cell r="M33">
            <v>16</v>
          </cell>
          <cell r="N33">
            <v>4</v>
          </cell>
          <cell r="O33">
            <v>8</v>
          </cell>
          <cell r="P33">
            <v>8</v>
          </cell>
          <cell r="Q33">
            <v>0</v>
          </cell>
          <cell r="R33">
            <v>8</v>
          </cell>
          <cell r="S33">
            <v>36</v>
          </cell>
          <cell r="T33">
            <v>9</v>
          </cell>
          <cell r="U33">
            <v>36</v>
          </cell>
          <cell r="V33">
            <v>9</v>
          </cell>
          <cell r="W33">
            <v>18</v>
          </cell>
          <cell r="X33">
            <v>18</v>
          </cell>
          <cell r="Y33">
            <v>0</v>
          </cell>
          <cell r="Z33">
            <v>18</v>
          </cell>
          <cell r="AA33" t="str">
            <v xml:space="preserve">Ananda ZULFIDA NURUL MAZIDAH sangat baik dalam ketaatan beribadah, berperilaku syukur, dan sudah mampu meningkatkan sikap toleransi dalam beribadah, </v>
          </cell>
        </row>
        <row r="34">
          <cell r="A34">
            <v>28</v>
          </cell>
          <cell r="B34" t="str">
            <v>AZKA AFINA KHOIRUL IZA</v>
          </cell>
          <cell r="C34">
            <v>20</v>
          </cell>
          <cell r="D34">
            <v>5</v>
          </cell>
          <cell r="E34">
            <v>20</v>
          </cell>
          <cell r="F34">
            <v>5</v>
          </cell>
          <cell r="G34">
            <v>10</v>
          </cell>
          <cell r="H34">
            <v>10</v>
          </cell>
          <cell r="I34">
            <v>0</v>
          </cell>
          <cell r="J34">
            <v>10</v>
          </cell>
          <cell r="K34">
            <v>16</v>
          </cell>
          <cell r="L34">
            <v>4</v>
          </cell>
          <cell r="M34">
            <v>16</v>
          </cell>
          <cell r="N34">
            <v>4</v>
          </cell>
          <cell r="O34">
            <v>8</v>
          </cell>
          <cell r="P34">
            <v>8</v>
          </cell>
          <cell r="Q34">
            <v>0</v>
          </cell>
          <cell r="R34">
            <v>8</v>
          </cell>
          <cell r="S34">
            <v>36</v>
          </cell>
          <cell r="T34">
            <v>9</v>
          </cell>
          <cell r="U34">
            <v>36</v>
          </cell>
          <cell r="V34">
            <v>9</v>
          </cell>
          <cell r="W34">
            <v>18</v>
          </cell>
          <cell r="X34">
            <v>18</v>
          </cell>
          <cell r="Y34">
            <v>0</v>
          </cell>
          <cell r="Z34">
            <v>18</v>
          </cell>
          <cell r="AA34" t="str">
            <v xml:space="preserve">Ananda AZKA AFINA KHOIRUL IZA sangat baik dalam ketaatan beribadah, berperilaku syukur, dan sudah mampu meningkatkan sikap toleransi dalam beribadah, </v>
          </cell>
        </row>
        <row r="35">
          <cell r="A35">
            <v>29</v>
          </cell>
          <cell r="B35" t="str">
            <v>BAGUS WIDA KANAKA</v>
          </cell>
          <cell r="C35">
            <v>20</v>
          </cell>
          <cell r="D35">
            <v>5</v>
          </cell>
          <cell r="E35">
            <v>20</v>
          </cell>
          <cell r="F35">
            <v>5</v>
          </cell>
          <cell r="G35">
            <v>10</v>
          </cell>
          <cell r="H35">
            <v>10</v>
          </cell>
          <cell r="I35">
            <v>0</v>
          </cell>
          <cell r="J35">
            <v>10</v>
          </cell>
          <cell r="K35">
            <v>16</v>
          </cell>
          <cell r="L35">
            <v>4</v>
          </cell>
          <cell r="M35">
            <v>16</v>
          </cell>
          <cell r="N35">
            <v>4</v>
          </cell>
          <cell r="O35">
            <v>8</v>
          </cell>
          <cell r="P35">
            <v>8</v>
          </cell>
          <cell r="Q35">
            <v>0</v>
          </cell>
          <cell r="R35">
            <v>8</v>
          </cell>
          <cell r="S35">
            <v>36</v>
          </cell>
          <cell r="T35">
            <v>9</v>
          </cell>
          <cell r="U35">
            <v>36</v>
          </cell>
          <cell r="V35">
            <v>9</v>
          </cell>
          <cell r="W35">
            <v>18</v>
          </cell>
          <cell r="X35">
            <v>18</v>
          </cell>
          <cell r="Y35">
            <v>0</v>
          </cell>
          <cell r="Z35">
            <v>18</v>
          </cell>
          <cell r="AA35" t="str">
            <v xml:space="preserve">Ananda BAGUS WIDA KANAKA sangat baik dalam ketaatan beribadah, berperilaku syukur, dan sudah mampu meningkatkan sikap toleransi dalam beribadah, </v>
          </cell>
        </row>
        <row r="36">
          <cell r="A36">
            <v>30</v>
          </cell>
          <cell r="B36" t="str">
            <v>DENI FIRYA ATHALLAH PRADINAYA</v>
          </cell>
          <cell r="C36">
            <v>20</v>
          </cell>
          <cell r="D36">
            <v>5</v>
          </cell>
          <cell r="E36">
            <v>20</v>
          </cell>
          <cell r="F36">
            <v>5</v>
          </cell>
          <cell r="G36">
            <v>10</v>
          </cell>
          <cell r="H36">
            <v>10</v>
          </cell>
          <cell r="I36">
            <v>0</v>
          </cell>
          <cell r="J36">
            <v>10</v>
          </cell>
          <cell r="K36">
            <v>16</v>
          </cell>
          <cell r="L36">
            <v>4</v>
          </cell>
          <cell r="M36">
            <v>16</v>
          </cell>
          <cell r="N36">
            <v>4</v>
          </cell>
          <cell r="O36">
            <v>8</v>
          </cell>
          <cell r="P36">
            <v>8</v>
          </cell>
          <cell r="Q36">
            <v>0</v>
          </cell>
          <cell r="R36">
            <v>8</v>
          </cell>
          <cell r="S36">
            <v>36</v>
          </cell>
          <cell r="T36">
            <v>9</v>
          </cell>
          <cell r="U36">
            <v>36</v>
          </cell>
          <cell r="V36">
            <v>9</v>
          </cell>
          <cell r="W36">
            <v>18</v>
          </cell>
          <cell r="X36">
            <v>18</v>
          </cell>
          <cell r="Y36">
            <v>0</v>
          </cell>
          <cell r="Z36">
            <v>18</v>
          </cell>
          <cell r="AA36" t="str">
            <v xml:space="preserve">Ananda DENI FIRYA ATHALLAH PRADINAYA sangat baik dalam ketaatan beribadah, berperilaku syukur, dan sudah mampu meningkatkan sikap toleransi dalam beribadah, </v>
          </cell>
        </row>
        <row r="37">
          <cell r="A37">
            <v>31</v>
          </cell>
          <cell r="B37" t="str">
            <v>DEWI GALUH MULANSARI</v>
          </cell>
          <cell r="C37">
            <v>20</v>
          </cell>
          <cell r="D37">
            <v>5</v>
          </cell>
          <cell r="E37">
            <v>20</v>
          </cell>
          <cell r="F37">
            <v>5</v>
          </cell>
          <cell r="G37">
            <v>10</v>
          </cell>
          <cell r="H37">
            <v>10</v>
          </cell>
          <cell r="I37">
            <v>0</v>
          </cell>
          <cell r="J37">
            <v>10</v>
          </cell>
          <cell r="K37">
            <v>16</v>
          </cell>
          <cell r="L37">
            <v>4</v>
          </cell>
          <cell r="M37">
            <v>16</v>
          </cell>
          <cell r="N37">
            <v>4</v>
          </cell>
          <cell r="O37">
            <v>8</v>
          </cell>
          <cell r="P37">
            <v>8</v>
          </cell>
          <cell r="Q37">
            <v>0</v>
          </cell>
          <cell r="R37">
            <v>8</v>
          </cell>
          <cell r="S37">
            <v>36</v>
          </cell>
          <cell r="T37">
            <v>9</v>
          </cell>
          <cell r="U37">
            <v>36</v>
          </cell>
          <cell r="V37">
            <v>9</v>
          </cell>
          <cell r="W37">
            <v>18</v>
          </cell>
          <cell r="X37">
            <v>18</v>
          </cell>
          <cell r="Y37">
            <v>0</v>
          </cell>
          <cell r="Z37">
            <v>18</v>
          </cell>
          <cell r="AA37" t="str">
            <v xml:space="preserve">Ananda DEWI GALUH MULANSARI sangat baik dalam ketaatan beribadah, berperilaku syukur, dan sudah mampu meningkatkan sikap toleransi dalam beribadah, </v>
          </cell>
        </row>
        <row r="38">
          <cell r="A38">
            <v>32</v>
          </cell>
          <cell r="B38" t="str">
            <v>DIAN PUJI LESTARI</v>
          </cell>
          <cell r="C38">
            <v>20</v>
          </cell>
          <cell r="D38">
            <v>5</v>
          </cell>
          <cell r="E38">
            <v>20</v>
          </cell>
          <cell r="F38">
            <v>5</v>
          </cell>
          <cell r="G38">
            <v>10</v>
          </cell>
          <cell r="H38">
            <v>10</v>
          </cell>
          <cell r="I38">
            <v>0</v>
          </cell>
          <cell r="J38">
            <v>10</v>
          </cell>
          <cell r="K38">
            <v>16</v>
          </cell>
          <cell r="L38">
            <v>4</v>
          </cell>
          <cell r="M38">
            <v>16</v>
          </cell>
          <cell r="N38">
            <v>4</v>
          </cell>
          <cell r="O38">
            <v>8</v>
          </cell>
          <cell r="P38">
            <v>8</v>
          </cell>
          <cell r="Q38">
            <v>0</v>
          </cell>
          <cell r="R38">
            <v>8</v>
          </cell>
          <cell r="S38">
            <v>36</v>
          </cell>
          <cell r="T38">
            <v>9</v>
          </cell>
          <cell r="U38">
            <v>36</v>
          </cell>
          <cell r="V38">
            <v>9</v>
          </cell>
          <cell r="W38">
            <v>18</v>
          </cell>
          <cell r="X38">
            <v>18</v>
          </cell>
          <cell r="Y38">
            <v>0</v>
          </cell>
          <cell r="Z38">
            <v>18</v>
          </cell>
          <cell r="AA38" t="str">
            <v xml:space="preserve">Ananda DIAN PUJI LESTARI sangat baik dalam ketaatan beribadah, berperilaku syukur, dan sudah mampu meningkatkan sikap toleransi dalam beribadah, </v>
          </cell>
        </row>
        <row r="39">
          <cell r="A39">
            <v>33</v>
          </cell>
          <cell r="B39" t="str">
            <v>Hafidz Langgeng Prasetyo</v>
          </cell>
          <cell r="C39">
            <v>20</v>
          </cell>
          <cell r="D39">
            <v>5</v>
          </cell>
          <cell r="E39">
            <v>20</v>
          </cell>
          <cell r="F39">
            <v>5</v>
          </cell>
          <cell r="G39">
            <v>10</v>
          </cell>
          <cell r="H39">
            <v>10</v>
          </cell>
          <cell r="I39">
            <v>0</v>
          </cell>
          <cell r="J39">
            <v>10</v>
          </cell>
          <cell r="K39">
            <v>16</v>
          </cell>
          <cell r="L39">
            <v>4</v>
          </cell>
          <cell r="M39">
            <v>16</v>
          </cell>
          <cell r="N39">
            <v>4</v>
          </cell>
          <cell r="O39">
            <v>8</v>
          </cell>
          <cell r="P39">
            <v>8</v>
          </cell>
          <cell r="Q39">
            <v>0</v>
          </cell>
          <cell r="R39">
            <v>8</v>
          </cell>
          <cell r="S39">
            <v>36</v>
          </cell>
          <cell r="T39">
            <v>9</v>
          </cell>
          <cell r="U39">
            <v>36</v>
          </cell>
          <cell r="V39">
            <v>9</v>
          </cell>
          <cell r="W39">
            <v>18</v>
          </cell>
          <cell r="X39">
            <v>18</v>
          </cell>
          <cell r="Y39">
            <v>0</v>
          </cell>
          <cell r="Z39">
            <v>18</v>
          </cell>
          <cell r="AA39" t="str">
            <v xml:space="preserve">Ananda Hafidz Langgeng Prasetyo sangat baik dalam ketaatan beribadah, berperilaku syukur, dan sudah mampu meningkatkan sikap toleransi dalam beribadah, </v>
          </cell>
        </row>
        <row r="40">
          <cell r="A40">
            <v>34</v>
          </cell>
          <cell r="B40" t="str">
            <v>JALU ARTHA AJI MANGGALA HANDOKO</v>
          </cell>
          <cell r="C40">
            <v>20</v>
          </cell>
          <cell r="D40">
            <v>5</v>
          </cell>
          <cell r="E40">
            <v>20</v>
          </cell>
          <cell r="F40">
            <v>5</v>
          </cell>
          <cell r="G40">
            <v>10</v>
          </cell>
          <cell r="H40">
            <v>10</v>
          </cell>
          <cell r="I40">
            <v>0</v>
          </cell>
          <cell r="J40">
            <v>10</v>
          </cell>
          <cell r="K40">
            <v>16</v>
          </cell>
          <cell r="L40">
            <v>4</v>
          </cell>
          <cell r="M40">
            <v>16</v>
          </cell>
          <cell r="N40">
            <v>4</v>
          </cell>
          <cell r="O40">
            <v>8</v>
          </cell>
          <cell r="P40">
            <v>8</v>
          </cell>
          <cell r="Q40">
            <v>0</v>
          </cell>
          <cell r="R40">
            <v>8</v>
          </cell>
          <cell r="S40">
            <v>36</v>
          </cell>
          <cell r="T40">
            <v>9</v>
          </cell>
          <cell r="U40">
            <v>36</v>
          </cell>
          <cell r="V40">
            <v>9</v>
          </cell>
          <cell r="W40">
            <v>18</v>
          </cell>
          <cell r="X40">
            <v>18</v>
          </cell>
          <cell r="Y40">
            <v>0</v>
          </cell>
          <cell r="Z40">
            <v>18</v>
          </cell>
          <cell r="AA40" t="str">
            <v xml:space="preserve">Ananda JALU ARTHA AJI MANGGALA HANDOKO sangat baik dalam ketaatan beribadah, berperilaku syukur, dan sudah mampu meningkatkan sikap toleransi dalam beribadah, </v>
          </cell>
        </row>
        <row r="41">
          <cell r="A41">
            <v>35</v>
          </cell>
          <cell r="B41" t="str">
            <v>LAURENDHO RADIEFCA MURDIONO</v>
          </cell>
          <cell r="C41">
            <v>20</v>
          </cell>
          <cell r="D41">
            <v>5</v>
          </cell>
          <cell r="E41">
            <v>20</v>
          </cell>
          <cell r="F41">
            <v>5</v>
          </cell>
          <cell r="G41">
            <v>10</v>
          </cell>
          <cell r="H41">
            <v>10</v>
          </cell>
          <cell r="I41">
            <v>0</v>
          </cell>
          <cell r="J41">
            <v>10</v>
          </cell>
          <cell r="K41">
            <v>16</v>
          </cell>
          <cell r="L41">
            <v>4</v>
          </cell>
          <cell r="M41">
            <v>16</v>
          </cell>
          <cell r="N41">
            <v>4</v>
          </cell>
          <cell r="O41">
            <v>8</v>
          </cell>
          <cell r="P41">
            <v>8</v>
          </cell>
          <cell r="Q41">
            <v>0</v>
          </cell>
          <cell r="R41">
            <v>8</v>
          </cell>
          <cell r="S41">
            <v>36</v>
          </cell>
          <cell r="T41">
            <v>9</v>
          </cell>
          <cell r="U41">
            <v>36</v>
          </cell>
          <cell r="V41">
            <v>9</v>
          </cell>
          <cell r="W41">
            <v>18</v>
          </cell>
          <cell r="X41">
            <v>18</v>
          </cell>
          <cell r="Y41">
            <v>0</v>
          </cell>
          <cell r="Z41">
            <v>18</v>
          </cell>
          <cell r="AA41" t="str">
            <v xml:space="preserve">Ananda LAURENDHO RADIEFCA MURDIONO sangat baik dalam ketaatan beribadah, berperilaku syukur, dan sudah mampu meningkatkan sikap toleransi dalam beribadah, </v>
          </cell>
        </row>
        <row r="42">
          <cell r="A42">
            <v>36</v>
          </cell>
          <cell r="B42" t="str">
            <v>MARSYA MAYDINA DWI RISQITA</v>
          </cell>
          <cell r="C42">
            <v>20</v>
          </cell>
          <cell r="D42">
            <v>5</v>
          </cell>
          <cell r="E42">
            <v>20</v>
          </cell>
          <cell r="F42">
            <v>5</v>
          </cell>
          <cell r="G42">
            <v>10</v>
          </cell>
          <cell r="H42">
            <v>10</v>
          </cell>
          <cell r="I42">
            <v>0</v>
          </cell>
          <cell r="J42">
            <v>10</v>
          </cell>
          <cell r="K42">
            <v>16</v>
          </cell>
          <cell r="L42">
            <v>4</v>
          </cell>
          <cell r="M42">
            <v>16</v>
          </cell>
          <cell r="N42">
            <v>4</v>
          </cell>
          <cell r="O42">
            <v>8</v>
          </cell>
          <cell r="P42">
            <v>8</v>
          </cell>
          <cell r="Q42">
            <v>0</v>
          </cell>
          <cell r="R42">
            <v>8</v>
          </cell>
          <cell r="S42">
            <v>36</v>
          </cell>
          <cell r="T42">
            <v>9</v>
          </cell>
          <cell r="U42">
            <v>36</v>
          </cell>
          <cell r="V42">
            <v>9</v>
          </cell>
          <cell r="W42">
            <v>18</v>
          </cell>
          <cell r="X42">
            <v>18</v>
          </cell>
          <cell r="Y42">
            <v>0</v>
          </cell>
          <cell r="Z42">
            <v>18</v>
          </cell>
          <cell r="AA42" t="str">
            <v xml:space="preserve">Ananda MARSYA MAYDINA DWI RISQITA sangat baik dalam ketaatan beribadah, berperilaku syukur, dan sudah mampu meningkatkan sikap toleransi dalam beribadah, </v>
          </cell>
        </row>
        <row r="43">
          <cell r="A43">
            <v>37</v>
          </cell>
          <cell r="B43" t="str">
            <v>MILA SARASWATI</v>
          </cell>
          <cell r="C43">
            <v>20</v>
          </cell>
          <cell r="D43">
            <v>5</v>
          </cell>
          <cell r="E43">
            <v>20</v>
          </cell>
          <cell r="F43">
            <v>5</v>
          </cell>
          <cell r="G43">
            <v>10</v>
          </cell>
          <cell r="H43">
            <v>10</v>
          </cell>
          <cell r="I43">
            <v>0</v>
          </cell>
          <cell r="J43">
            <v>10</v>
          </cell>
          <cell r="K43">
            <v>16</v>
          </cell>
          <cell r="L43">
            <v>4</v>
          </cell>
          <cell r="M43">
            <v>16</v>
          </cell>
          <cell r="N43">
            <v>4</v>
          </cell>
          <cell r="O43">
            <v>8</v>
          </cell>
          <cell r="P43">
            <v>8</v>
          </cell>
          <cell r="Q43">
            <v>0</v>
          </cell>
          <cell r="R43">
            <v>8</v>
          </cell>
          <cell r="S43">
            <v>36</v>
          </cell>
          <cell r="T43">
            <v>9</v>
          </cell>
          <cell r="U43">
            <v>36</v>
          </cell>
          <cell r="V43">
            <v>9</v>
          </cell>
          <cell r="W43">
            <v>18</v>
          </cell>
          <cell r="X43">
            <v>18</v>
          </cell>
          <cell r="Y43">
            <v>0</v>
          </cell>
          <cell r="Z43">
            <v>18</v>
          </cell>
          <cell r="AA43" t="str">
            <v xml:space="preserve">Ananda MILA SARASWATI sangat baik dalam ketaatan beribadah, berperilaku syukur, dan sudah mampu meningkatkan sikap toleransi dalam beribadah, </v>
          </cell>
        </row>
        <row r="44">
          <cell r="A44">
            <v>38</v>
          </cell>
          <cell r="B44" t="str">
            <v>MUHAMMAD ARKAN ALLY RACHMAD</v>
          </cell>
          <cell r="C44">
            <v>20</v>
          </cell>
          <cell r="D44">
            <v>5</v>
          </cell>
          <cell r="E44">
            <v>20</v>
          </cell>
          <cell r="F44">
            <v>5</v>
          </cell>
          <cell r="G44">
            <v>10</v>
          </cell>
          <cell r="H44">
            <v>10</v>
          </cell>
          <cell r="I44">
            <v>0</v>
          </cell>
          <cell r="J44">
            <v>10</v>
          </cell>
          <cell r="K44">
            <v>16</v>
          </cell>
          <cell r="L44">
            <v>4</v>
          </cell>
          <cell r="M44">
            <v>16</v>
          </cell>
          <cell r="N44">
            <v>4</v>
          </cell>
          <cell r="O44">
            <v>8</v>
          </cell>
          <cell r="P44">
            <v>8</v>
          </cell>
          <cell r="Q44">
            <v>0</v>
          </cell>
          <cell r="R44">
            <v>8</v>
          </cell>
          <cell r="S44">
            <v>36</v>
          </cell>
          <cell r="T44">
            <v>9</v>
          </cell>
          <cell r="U44">
            <v>36</v>
          </cell>
          <cell r="V44">
            <v>9</v>
          </cell>
          <cell r="W44">
            <v>18</v>
          </cell>
          <cell r="X44">
            <v>18</v>
          </cell>
          <cell r="Y44">
            <v>0</v>
          </cell>
          <cell r="Z44">
            <v>18</v>
          </cell>
          <cell r="AA44" t="str">
            <v xml:space="preserve">Ananda MUHAMMAD ARKAN ALLY RACHMAD sangat baik dalam ketaatan beribadah, berperilaku syukur, dan sudah mampu meningkatkan sikap toleransi dalam beribadah, </v>
          </cell>
        </row>
        <row r="45">
          <cell r="A45">
            <v>39</v>
          </cell>
          <cell r="B45" t="str">
            <v>MUHAMMAD REVIAN ABDULLOH FAQIH</v>
          </cell>
          <cell r="C45">
            <v>20</v>
          </cell>
          <cell r="D45">
            <v>5</v>
          </cell>
          <cell r="E45">
            <v>20</v>
          </cell>
          <cell r="F45">
            <v>5</v>
          </cell>
          <cell r="G45">
            <v>10</v>
          </cell>
          <cell r="H45">
            <v>10</v>
          </cell>
          <cell r="I45">
            <v>0</v>
          </cell>
          <cell r="J45">
            <v>10</v>
          </cell>
          <cell r="K45">
            <v>16</v>
          </cell>
          <cell r="L45">
            <v>4</v>
          </cell>
          <cell r="M45">
            <v>16</v>
          </cell>
          <cell r="N45">
            <v>4</v>
          </cell>
          <cell r="O45">
            <v>8</v>
          </cell>
          <cell r="P45">
            <v>8</v>
          </cell>
          <cell r="Q45">
            <v>0</v>
          </cell>
          <cell r="R45">
            <v>8</v>
          </cell>
          <cell r="S45">
            <v>36</v>
          </cell>
          <cell r="T45">
            <v>9</v>
          </cell>
          <cell r="U45">
            <v>36</v>
          </cell>
          <cell r="V45">
            <v>9</v>
          </cell>
          <cell r="W45">
            <v>18</v>
          </cell>
          <cell r="X45">
            <v>18</v>
          </cell>
          <cell r="Y45">
            <v>0</v>
          </cell>
          <cell r="Z45">
            <v>18</v>
          </cell>
          <cell r="AA45" t="str">
            <v xml:space="preserve">Ananda MUHAMMAD REVIAN ABDULLOH FAQIH sangat baik dalam ketaatan beribadah, berperilaku syukur, dan sudah mampu meningkatkan sikap toleransi dalam beribadah, </v>
          </cell>
        </row>
        <row r="46">
          <cell r="A46">
            <v>40</v>
          </cell>
          <cell r="B46" t="str">
            <v>NABILA AYUNINGTIAS</v>
          </cell>
          <cell r="C46">
            <v>20</v>
          </cell>
          <cell r="D46">
            <v>5</v>
          </cell>
          <cell r="E46">
            <v>20</v>
          </cell>
          <cell r="F46">
            <v>5</v>
          </cell>
          <cell r="G46">
            <v>10</v>
          </cell>
          <cell r="H46">
            <v>10</v>
          </cell>
          <cell r="I46">
            <v>0</v>
          </cell>
          <cell r="J46">
            <v>10</v>
          </cell>
          <cell r="K46">
            <v>16</v>
          </cell>
          <cell r="L46">
            <v>4</v>
          </cell>
          <cell r="M46">
            <v>16</v>
          </cell>
          <cell r="N46">
            <v>4</v>
          </cell>
          <cell r="O46">
            <v>8</v>
          </cell>
          <cell r="P46">
            <v>8</v>
          </cell>
          <cell r="Q46">
            <v>0</v>
          </cell>
          <cell r="R46">
            <v>8</v>
          </cell>
          <cell r="S46">
            <v>36</v>
          </cell>
          <cell r="T46">
            <v>9</v>
          </cell>
          <cell r="U46">
            <v>36</v>
          </cell>
          <cell r="V46">
            <v>9</v>
          </cell>
          <cell r="W46">
            <v>18</v>
          </cell>
          <cell r="X46">
            <v>18</v>
          </cell>
          <cell r="Y46">
            <v>0</v>
          </cell>
          <cell r="Z46">
            <v>18</v>
          </cell>
          <cell r="AA46" t="str">
            <v xml:space="preserve">Ananda NABILA AYUNINGTIAS sangat baik dalam ketaatan beribadah, berperilaku syukur, dan sudah mampu meningkatkan sikap toleransi dalam beribadah, </v>
          </cell>
        </row>
        <row r="47">
          <cell r="A47">
            <v>41</v>
          </cell>
          <cell r="B47" t="str">
            <v>NARESWARI MASAYU PUSPANINGRUM</v>
          </cell>
          <cell r="C47">
            <v>20</v>
          </cell>
          <cell r="D47">
            <v>5</v>
          </cell>
          <cell r="E47">
            <v>20</v>
          </cell>
          <cell r="F47">
            <v>5</v>
          </cell>
          <cell r="G47">
            <v>10</v>
          </cell>
          <cell r="H47">
            <v>10</v>
          </cell>
          <cell r="I47">
            <v>0</v>
          </cell>
          <cell r="J47">
            <v>10</v>
          </cell>
          <cell r="K47">
            <v>16</v>
          </cell>
          <cell r="L47">
            <v>4</v>
          </cell>
          <cell r="M47">
            <v>16</v>
          </cell>
          <cell r="N47">
            <v>4</v>
          </cell>
          <cell r="O47">
            <v>8</v>
          </cell>
          <cell r="P47">
            <v>8</v>
          </cell>
          <cell r="Q47">
            <v>0</v>
          </cell>
          <cell r="R47">
            <v>8</v>
          </cell>
          <cell r="S47">
            <v>36</v>
          </cell>
          <cell r="T47">
            <v>9</v>
          </cell>
          <cell r="U47">
            <v>36</v>
          </cell>
          <cell r="V47">
            <v>9</v>
          </cell>
          <cell r="W47">
            <v>18</v>
          </cell>
          <cell r="X47">
            <v>18</v>
          </cell>
          <cell r="Y47">
            <v>0</v>
          </cell>
          <cell r="Z47">
            <v>18</v>
          </cell>
          <cell r="AA47" t="str">
            <v xml:space="preserve">Ananda NARESWARI MASAYU PUSPANINGRUM sangat baik dalam ketaatan beribadah, berperilaku syukur, dan sudah mampu meningkatkan sikap toleransi dalam beribadah, </v>
          </cell>
        </row>
        <row r="48">
          <cell r="A48">
            <v>42</v>
          </cell>
          <cell r="B48" t="str">
            <v>NOVA SASMYTA</v>
          </cell>
          <cell r="C48">
            <v>20</v>
          </cell>
          <cell r="D48">
            <v>5</v>
          </cell>
          <cell r="E48">
            <v>20</v>
          </cell>
          <cell r="F48">
            <v>5</v>
          </cell>
          <cell r="G48">
            <v>10</v>
          </cell>
          <cell r="H48">
            <v>10</v>
          </cell>
          <cell r="I48">
            <v>0</v>
          </cell>
          <cell r="J48">
            <v>10</v>
          </cell>
          <cell r="K48">
            <v>16</v>
          </cell>
          <cell r="L48">
            <v>4</v>
          </cell>
          <cell r="M48">
            <v>16</v>
          </cell>
          <cell r="N48">
            <v>4</v>
          </cell>
          <cell r="O48">
            <v>8</v>
          </cell>
          <cell r="P48">
            <v>8</v>
          </cell>
          <cell r="Q48">
            <v>0</v>
          </cell>
          <cell r="R48">
            <v>8</v>
          </cell>
          <cell r="S48">
            <v>36</v>
          </cell>
          <cell r="T48">
            <v>9</v>
          </cell>
          <cell r="U48">
            <v>36</v>
          </cell>
          <cell r="V48">
            <v>9</v>
          </cell>
          <cell r="W48">
            <v>18</v>
          </cell>
          <cell r="X48">
            <v>18</v>
          </cell>
          <cell r="Y48">
            <v>0</v>
          </cell>
          <cell r="Z48">
            <v>18</v>
          </cell>
          <cell r="AA48" t="str">
            <v xml:space="preserve">Ananda NOVA SASMYTA sangat baik dalam ketaatan beribadah, berperilaku syukur, dan sudah mampu meningkatkan sikap toleransi dalam beribadah, </v>
          </cell>
        </row>
        <row r="49">
          <cell r="A49">
            <v>43</v>
          </cell>
          <cell r="B49" t="str">
            <v>RIDHA RAHMATUL AULA RIDWAN</v>
          </cell>
          <cell r="C49">
            <v>20</v>
          </cell>
          <cell r="D49">
            <v>5</v>
          </cell>
          <cell r="E49">
            <v>20</v>
          </cell>
          <cell r="F49">
            <v>5</v>
          </cell>
          <cell r="G49">
            <v>10</v>
          </cell>
          <cell r="H49">
            <v>10</v>
          </cell>
          <cell r="I49">
            <v>0</v>
          </cell>
          <cell r="J49">
            <v>10</v>
          </cell>
          <cell r="K49">
            <v>16</v>
          </cell>
          <cell r="L49">
            <v>4</v>
          </cell>
          <cell r="M49">
            <v>16</v>
          </cell>
          <cell r="N49">
            <v>4</v>
          </cell>
          <cell r="O49">
            <v>8</v>
          </cell>
          <cell r="P49">
            <v>8</v>
          </cell>
          <cell r="Q49">
            <v>0</v>
          </cell>
          <cell r="R49">
            <v>8</v>
          </cell>
          <cell r="S49">
            <v>36</v>
          </cell>
          <cell r="T49">
            <v>9</v>
          </cell>
          <cell r="U49">
            <v>36</v>
          </cell>
          <cell r="V49">
            <v>9</v>
          </cell>
          <cell r="W49">
            <v>18</v>
          </cell>
          <cell r="X49">
            <v>18</v>
          </cell>
          <cell r="Y49">
            <v>0</v>
          </cell>
          <cell r="Z49">
            <v>18</v>
          </cell>
          <cell r="AA49" t="str">
            <v xml:space="preserve">Ananda RIDHA RAHMATUL AULA RIDWAN sangat baik dalam ketaatan beribadah, berperilaku syukur, dan sudah mampu meningkatkan sikap toleransi dalam beribadah, </v>
          </cell>
        </row>
        <row r="50">
          <cell r="A50">
            <v>44</v>
          </cell>
          <cell r="B50" t="str">
            <v>RIFDA SALSABILA PURNAMA</v>
          </cell>
          <cell r="C50">
            <v>20</v>
          </cell>
          <cell r="D50">
            <v>5</v>
          </cell>
          <cell r="E50">
            <v>20</v>
          </cell>
          <cell r="F50">
            <v>5</v>
          </cell>
          <cell r="G50">
            <v>10</v>
          </cell>
          <cell r="H50">
            <v>10</v>
          </cell>
          <cell r="I50">
            <v>0</v>
          </cell>
          <cell r="J50">
            <v>10</v>
          </cell>
          <cell r="K50">
            <v>16</v>
          </cell>
          <cell r="L50">
            <v>4</v>
          </cell>
          <cell r="M50">
            <v>16</v>
          </cell>
          <cell r="N50">
            <v>4</v>
          </cell>
          <cell r="O50">
            <v>8</v>
          </cell>
          <cell r="P50">
            <v>8</v>
          </cell>
          <cell r="Q50">
            <v>0</v>
          </cell>
          <cell r="R50">
            <v>8</v>
          </cell>
          <cell r="S50">
            <v>36</v>
          </cell>
          <cell r="T50">
            <v>9</v>
          </cell>
          <cell r="U50">
            <v>36</v>
          </cell>
          <cell r="V50">
            <v>9</v>
          </cell>
          <cell r="W50">
            <v>18</v>
          </cell>
          <cell r="X50">
            <v>18</v>
          </cell>
          <cell r="Y50">
            <v>0</v>
          </cell>
          <cell r="Z50">
            <v>18</v>
          </cell>
          <cell r="AA50" t="str">
            <v xml:space="preserve">Ananda RIFDA SALSABILA PURNAMA sangat baik dalam ketaatan beribadah, berperilaku syukur, dan sudah mampu meningkatkan sikap toleransi dalam beribadah, </v>
          </cell>
        </row>
        <row r="51">
          <cell r="A51">
            <v>45</v>
          </cell>
          <cell r="B51" t="str">
            <v>RIZKI INTAN KURNIAENDAH</v>
          </cell>
          <cell r="C51">
            <v>20</v>
          </cell>
          <cell r="D51">
            <v>5</v>
          </cell>
          <cell r="E51">
            <v>20</v>
          </cell>
          <cell r="F51">
            <v>5</v>
          </cell>
          <cell r="G51">
            <v>10</v>
          </cell>
          <cell r="H51">
            <v>10</v>
          </cell>
          <cell r="I51">
            <v>0</v>
          </cell>
          <cell r="J51">
            <v>10</v>
          </cell>
          <cell r="K51">
            <v>16</v>
          </cell>
          <cell r="L51">
            <v>4</v>
          </cell>
          <cell r="M51">
            <v>16</v>
          </cell>
          <cell r="N51">
            <v>4</v>
          </cell>
          <cell r="O51">
            <v>8</v>
          </cell>
          <cell r="P51">
            <v>8</v>
          </cell>
          <cell r="Q51">
            <v>0</v>
          </cell>
          <cell r="R51">
            <v>8</v>
          </cell>
          <cell r="S51">
            <v>36</v>
          </cell>
          <cell r="T51">
            <v>9</v>
          </cell>
          <cell r="U51">
            <v>36</v>
          </cell>
          <cell r="V51">
            <v>9</v>
          </cell>
          <cell r="W51">
            <v>18</v>
          </cell>
          <cell r="X51">
            <v>18</v>
          </cell>
          <cell r="Y51">
            <v>0</v>
          </cell>
          <cell r="Z51">
            <v>18</v>
          </cell>
          <cell r="AA51" t="str">
            <v xml:space="preserve">Ananda RIZKI INTAN KURNIAENDAH sangat baik dalam ketaatan beribadah, berperilaku syukur, dan sudah mampu meningkatkan sikap toleransi dalam beribadah, </v>
          </cell>
        </row>
        <row r="52">
          <cell r="A52">
            <v>46</v>
          </cell>
          <cell r="B52" t="str">
            <v>RIZKY FIRMANSYAH</v>
          </cell>
          <cell r="C52">
            <v>20</v>
          </cell>
          <cell r="D52">
            <v>5</v>
          </cell>
          <cell r="E52">
            <v>20</v>
          </cell>
          <cell r="F52">
            <v>5</v>
          </cell>
          <cell r="G52">
            <v>10</v>
          </cell>
          <cell r="H52">
            <v>10</v>
          </cell>
          <cell r="I52">
            <v>0</v>
          </cell>
          <cell r="J52">
            <v>10</v>
          </cell>
          <cell r="K52">
            <v>16</v>
          </cell>
          <cell r="L52">
            <v>4</v>
          </cell>
          <cell r="M52">
            <v>16</v>
          </cell>
          <cell r="N52">
            <v>4</v>
          </cell>
          <cell r="O52">
            <v>8</v>
          </cell>
          <cell r="P52">
            <v>8</v>
          </cell>
          <cell r="Q52">
            <v>0</v>
          </cell>
          <cell r="R52">
            <v>8</v>
          </cell>
          <cell r="S52">
            <v>36</v>
          </cell>
          <cell r="T52">
            <v>9</v>
          </cell>
          <cell r="U52">
            <v>36</v>
          </cell>
          <cell r="V52">
            <v>9</v>
          </cell>
          <cell r="W52">
            <v>18</v>
          </cell>
          <cell r="X52">
            <v>18</v>
          </cell>
          <cell r="Y52">
            <v>0</v>
          </cell>
          <cell r="Z52">
            <v>18</v>
          </cell>
          <cell r="AA52" t="str">
            <v xml:space="preserve">Ananda RIZKY FIRMANSYAH sangat baik dalam ketaatan beribadah, berperilaku syukur, dan sudah mampu meningkatkan sikap toleransi dalam beribadah, </v>
          </cell>
        </row>
        <row r="53">
          <cell r="A53">
            <v>47</v>
          </cell>
          <cell r="B53" t="str">
            <v>SAFIRA NUR LAYLA RAMADHANI</v>
          </cell>
          <cell r="C53">
            <v>20</v>
          </cell>
          <cell r="D53">
            <v>5</v>
          </cell>
          <cell r="E53">
            <v>20</v>
          </cell>
          <cell r="F53">
            <v>5</v>
          </cell>
          <cell r="G53">
            <v>10</v>
          </cell>
          <cell r="H53">
            <v>10</v>
          </cell>
          <cell r="I53">
            <v>0</v>
          </cell>
          <cell r="J53">
            <v>10</v>
          </cell>
          <cell r="K53">
            <v>16</v>
          </cell>
          <cell r="L53">
            <v>4</v>
          </cell>
          <cell r="M53">
            <v>16</v>
          </cell>
          <cell r="N53">
            <v>4</v>
          </cell>
          <cell r="O53">
            <v>8</v>
          </cell>
          <cell r="P53">
            <v>8</v>
          </cell>
          <cell r="Q53">
            <v>0</v>
          </cell>
          <cell r="R53">
            <v>8</v>
          </cell>
          <cell r="S53">
            <v>36</v>
          </cell>
          <cell r="T53">
            <v>9</v>
          </cell>
          <cell r="U53">
            <v>36</v>
          </cell>
          <cell r="V53">
            <v>9</v>
          </cell>
          <cell r="W53">
            <v>18</v>
          </cell>
          <cell r="X53">
            <v>18</v>
          </cell>
          <cell r="Y53">
            <v>0</v>
          </cell>
          <cell r="Z53">
            <v>18</v>
          </cell>
          <cell r="AA53" t="str">
            <v xml:space="preserve">Ananda SAFIRA NUR LAYLA RAMADHANI sangat baik dalam ketaatan beribadah, berperilaku syukur, dan sudah mampu meningkatkan sikap toleransi dalam beribadah, </v>
          </cell>
        </row>
        <row r="54">
          <cell r="A54">
            <v>48</v>
          </cell>
          <cell r="B54" t="str">
            <v>SHANASTRI RUFAIDA</v>
          </cell>
          <cell r="C54">
            <v>20</v>
          </cell>
          <cell r="D54">
            <v>5</v>
          </cell>
          <cell r="E54">
            <v>20</v>
          </cell>
          <cell r="F54">
            <v>5</v>
          </cell>
          <cell r="G54">
            <v>10</v>
          </cell>
          <cell r="H54">
            <v>10</v>
          </cell>
          <cell r="I54">
            <v>0</v>
          </cell>
          <cell r="J54">
            <v>10</v>
          </cell>
          <cell r="K54">
            <v>16</v>
          </cell>
          <cell r="L54">
            <v>4</v>
          </cell>
          <cell r="M54">
            <v>16</v>
          </cell>
          <cell r="N54">
            <v>4</v>
          </cell>
          <cell r="O54">
            <v>8</v>
          </cell>
          <cell r="P54">
            <v>8</v>
          </cell>
          <cell r="Q54">
            <v>0</v>
          </cell>
          <cell r="R54">
            <v>8</v>
          </cell>
          <cell r="S54">
            <v>36</v>
          </cell>
          <cell r="T54">
            <v>9</v>
          </cell>
          <cell r="U54">
            <v>36</v>
          </cell>
          <cell r="V54">
            <v>9</v>
          </cell>
          <cell r="W54">
            <v>18</v>
          </cell>
          <cell r="X54">
            <v>18</v>
          </cell>
          <cell r="Y54">
            <v>0</v>
          </cell>
          <cell r="Z54">
            <v>18</v>
          </cell>
          <cell r="AA54" t="str">
            <v xml:space="preserve">Ananda SHANASTRI RUFAIDA sangat baik dalam ketaatan beribadah, berperilaku syukur, dan sudah mampu meningkatkan sikap toleransi dalam beribadah, </v>
          </cell>
        </row>
        <row r="55">
          <cell r="A55">
            <v>49</v>
          </cell>
          <cell r="B55" t="str">
            <v>SHIAM SAHARA</v>
          </cell>
          <cell r="C55">
            <v>20</v>
          </cell>
          <cell r="D55">
            <v>5</v>
          </cell>
          <cell r="E55">
            <v>20</v>
          </cell>
          <cell r="F55">
            <v>5</v>
          </cell>
          <cell r="G55">
            <v>10</v>
          </cell>
          <cell r="H55">
            <v>10</v>
          </cell>
          <cell r="I55">
            <v>0</v>
          </cell>
          <cell r="J55">
            <v>10</v>
          </cell>
          <cell r="K55">
            <v>16</v>
          </cell>
          <cell r="L55">
            <v>4</v>
          </cell>
          <cell r="M55">
            <v>16</v>
          </cell>
          <cell r="N55">
            <v>4</v>
          </cell>
          <cell r="O55">
            <v>8</v>
          </cell>
          <cell r="P55">
            <v>8</v>
          </cell>
          <cell r="Q55">
            <v>0</v>
          </cell>
          <cell r="R55">
            <v>8</v>
          </cell>
          <cell r="S55">
            <v>36</v>
          </cell>
          <cell r="T55">
            <v>9</v>
          </cell>
          <cell r="U55">
            <v>36</v>
          </cell>
          <cell r="V55">
            <v>9</v>
          </cell>
          <cell r="W55">
            <v>18</v>
          </cell>
          <cell r="X55">
            <v>18</v>
          </cell>
          <cell r="Y55">
            <v>0</v>
          </cell>
          <cell r="Z55">
            <v>18</v>
          </cell>
          <cell r="AA55" t="str">
            <v xml:space="preserve">Ananda SHIAM SAHARA sangat baik dalam ketaatan beribadah, berperilaku syukur, dan sudah mampu meningkatkan sikap toleransi dalam beribadah, </v>
          </cell>
        </row>
        <row r="56">
          <cell r="A56">
            <v>50</v>
          </cell>
          <cell r="B56" t="str">
            <v>SUSAN APRILIA PUTRI</v>
          </cell>
          <cell r="C56">
            <v>20</v>
          </cell>
          <cell r="D56">
            <v>5</v>
          </cell>
          <cell r="E56">
            <v>20</v>
          </cell>
          <cell r="F56">
            <v>5</v>
          </cell>
          <cell r="G56">
            <v>10</v>
          </cell>
          <cell r="H56">
            <v>10</v>
          </cell>
          <cell r="I56">
            <v>0</v>
          </cell>
          <cell r="J56">
            <v>10</v>
          </cell>
          <cell r="K56">
            <v>16</v>
          </cell>
          <cell r="L56">
            <v>4</v>
          </cell>
          <cell r="M56">
            <v>16</v>
          </cell>
          <cell r="N56">
            <v>4</v>
          </cell>
          <cell r="O56">
            <v>8</v>
          </cell>
          <cell r="P56">
            <v>8</v>
          </cell>
          <cell r="Q56">
            <v>0</v>
          </cell>
          <cell r="R56">
            <v>8</v>
          </cell>
          <cell r="S56">
            <v>36</v>
          </cell>
          <cell r="T56">
            <v>9</v>
          </cell>
          <cell r="U56">
            <v>36</v>
          </cell>
          <cell r="V56">
            <v>9</v>
          </cell>
          <cell r="W56">
            <v>18</v>
          </cell>
          <cell r="X56">
            <v>18</v>
          </cell>
          <cell r="Y56">
            <v>0</v>
          </cell>
          <cell r="Z56">
            <v>18</v>
          </cell>
          <cell r="AA56" t="str">
            <v xml:space="preserve">Ananda SUSAN APRILIA PUTRI sangat baik dalam ketaatan beribadah, berperilaku syukur, dan sudah mampu meningkatkan sikap toleransi dalam beribadah, </v>
          </cell>
        </row>
      </sheetData>
      <sheetData sheetId="10"/>
      <sheetData sheetId="11">
        <row r="11">
          <cell r="A11">
            <v>1</v>
          </cell>
          <cell r="B11" t="str">
            <v>AZKA AFINA KHOIRUL IZA</v>
          </cell>
          <cell r="C11">
            <v>9</v>
          </cell>
          <cell r="D11">
            <v>5</v>
          </cell>
          <cell r="E11">
            <v>10</v>
          </cell>
          <cell r="F11">
            <v>5</v>
          </cell>
          <cell r="G11">
            <v>8</v>
          </cell>
          <cell r="H11">
            <v>7</v>
          </cell>
          <cell r="I11">
            <v>7</v>
          </cell>
          <cell r="J11">
            <v>5</v>
          </cell>
          <cell r="K11">
            <v>9</v>
          </cell>
          <cell r="L11">
            <v>7</v>
          </cell>
          <cell r="M11">
            <v>6</v>
          </cell>
          <cell r="N11">
            <v>9</v>
          </cell>
          <cell r="O11">
            <v>7</v>
          </cell>
          <cell r="P11">
            <v>4</v>
          </cell>
          <cell r="Q11">
            <v>8</v>
          </cell>
          <cell r="R11">
            <v>4</v>
          </cell>
          <cell r="S11">
            <v>7</v>
          </cell>
          <cell r="T11">
            <v>6</v>
          </cell>
          <cell r="U11">
            <v>6</v>
          </cell>
          <cell r="V11">
            <v>2</v>
          </cell>
          <cell r="W11">
            <v>7</v>
          </cell>
          <cell r="X11">
            <v>5</v>
          </cell>
          <cell r="Y11">
            <v>5</v>
          </cell>
          <cell r="Z11">
            <v>7</v>
          </cell>
          <cell r="AA11">
            <v>16</v>
          </cell>
          <cell r="AB11">
            <v>9</v>
          </cell>
          <cell r="AC11">
            <v>18</v>
          </cell>
          <cell r="AD11">
            <v>9</v>
          </cell>
          <cell r="AE11">
            <v>15</v>
          </cell>
          <cell r="AF11">
            <v>13</v>
          </cell>
          <cell r="AG11">
            <v>13</v>
          </cell>
          <cell r="AH11">
            <v>7</v>
          </cell>
          <cell r="AI11">
            <v>16</v>
          </cell>
          <cell r="AJ11">
            <v>12</v>
          </cell>
          <cell r="AK11">
            <v>11</v>
          </cell>
          <cell r="AL11">
            <v>16</v>
          </cell>
          <cell r="AM11" t="str">
            <v xml:space="preserve">Ananda AZKA AFINA KHOIRUL IZA,  sangat jujur, disiplin, tanggung jawab, santun, peduli, dan sudah mampu meningkatkan sikap percaya diri, </v>
          </cell>
        </row>
        <row r="12">
          <cell r="A12">
            <v>2</v>
          </cell>
          <cell r="B12" t="str">
            <v>BAGUS WIDA KANAKA</v>
          </cell>
          <cell r="C12">
            <v>20</v>
          </cell>
          <cell r="D12">
            <v>5</v>
          </cell>
          <cell r="E12">
            <v>20</v>
          </cell>
          <cell r="F12">
            <v>5</v>
          </cell>
          <cell r="G12">
            <v>0</v>
          </cell>
          <cell r="H12">
            <v>0</v>
          </cell>
          <cell r="I12">
            <v>0</v>
          </cell>
          <cell r="J12">
            <v>0</v>
          </cell>
          <cell r="K12">
            <v>10</v>
          </cell>
          <cell r="L12">
            <v>10</v>
          </cell>
          <cell r="M12">
            <v>0</v>
          </cell>
          <cell r="N12">
            <v>10</v>
          </cell>
          <cell r="O12">
            <v>16</v>
          </cell>
          <cell r="P12">
            <v>4</v>
          </cell>
          <cell r="Q12">
            <v>16</v>
          </cell>
          <cell r="R12">
            <v>4</v>
          </cell>
          <cell r="S12">
            <v>0</v>
          </cell>
          <cell r="T12">
            <v>0</v>
          </cell>
          <cell r="U12">
            <v>0</v>
          </cell>
          <cell r="V12">
            <v>0</v>
          </cell>
          <cell r="W12">
            <v>8</v>
          </cell>
          <cell r="X12">
            <v>8</v>
          </cell>
          <cell r="Y12">
            <v>0</v>
          </cell>
          <cell r="Z12">
            <v>8</v>
          </cell>
          <cell r="AA12">
            <v>36</v>
          </cell>
          <cell r="AB12">
            <v>9</v>
          </cell>
          <cell r="AC12">
            <v>36</v>
          </cell>
          <cell r="AD12">
            <v>9</v>
          </cell>
          <cell r="AE12">
            <v>0</v>
          </cell>
          <cell r="AF12">
            <v>0</v>
          </cell>
          <cell r="AG12">
            <v>0</v>
          </cell>
          <cell r="AH12">
            <v>0</v>
          </cell>
          <cell r="AI12">
            <v>18</v>
          </cell>
          <cell r="AJ12">
            <v>18</v>
          </cell>
          <cell r="AK12">
            <v>0</v>
          </cell>
          <cell r="AL12">
            <v>18</v>
          </cell>
          <cell r="AM12" t="str">
            <v xml:space="preserve">Ananda BAGUS WIDA KANAKA,  sangat jujur, disiplin, dan sudah mampu meningkatkan sikap percaya diri, </v>
          </cell>
        </row>
        <row r="13">
          <cell r="A13">
            <v>3</v>
          </cell>
          <cell r="B13" t="str">
            <v>DENI FIRYA ATHALLAH PRADINAYA</v>
          </cell>
          <cell r="C13">
            <v>20</v>
          </cell>
          <cell r="D13">
            <v>5</v>
          </cell>
          <cell r="E13">
            <v>20</v>
          </cell>
          <cell r="F13">
            <v>5</v>
          </cell>
          <cell r="G13">
            <v>0</v>
          </cell>
          <cell r="H13">
            <v>0</v>
          </cell>
          <cell r="I13">
            <v>0</v>
          </cell>
          <cell r="J13">
            <v>0</v>
          </cell>
          <cell r="K13">
            <v>10</v>
          </cell>
          <cell r="L13">
            <v>10</v>
          </cell>
          <cell r="M13">
            <v>0</v>
          </cell>
          <cell r="N13">
            <v>10</v>
          </cell>
          <cell r="O13">
            <v>16</v>
          </cell>
          <cell r="P13">
            <v>4</v>
          </cell>
          <cell r="Q13">
            <v>16</v>
          </cell>
          <cell r="R13">
            <v>4</v>
          </cell>
          <cell r="S13">
            <v>0</v>
          </cell>
          <cell r="T13">
            <v>0</v>
          </cell>
          <cell r="U13">
            <v>0</v>
          </cell>
          <cell r="V13">
            <v>0</v>
          </cell>
          <cell r="W13">
            <v>8</v>
          </cell>
          <cell r="X13">
            <v>8</v>
          </cell>
          <cell r="Y13">
            <v>0</v>
          </cell>
          <cell r="Z13">
            <v>8</v>
          </cell>
          <cell r="AA13">
            <v>36</v>
          </cell>
          <cell r="AB13">
            <v>9</v>
          </cell>
          <cell r="AC13">
            <v>36</v>
          </cell>
          <cell r="AD13">
            <v>9</v>
          </cell>
          <cell r="AE13">
            <v>0</v>
          </cell>
          <cell r="AF13">
            <v>0</v>
          </cell>
          <cell r="AG13">
            <v>0</v>
          </cell>
          <cell r="AH13">
            <v>0</v>
          </cell>
          <cell r="AI13">
            <v>18</v>
          </cell>
          <cell r="AJ13">
            <v>18</v>
          </cell>
          <cell r="AK13">
            <v>0</v>
          </cell>
          <cell r="AL13">
            <v>18</v>
          </cell>
          <cell r="AM13" t="str">
            <v xml:space="preserve">Ananda DENI FIRYA ATHALLAH PRADINAYA,  sangat jujur, disiplin, dan sudah mampu meningkatkan sikap percaya diri, </v>
          </cell>
        </row>
        <row r="14">
          <cell r="A14">
            <v>4</v>
          </cell>
          <cell r="B14" t="str">
            <v>DEWI GALUH MULANSARI</v>
          </cell>
          <cell r="C14">
            <v>20</v>
          </cell>
          <cell r="D14">
            <v>5</v>
          </cell>
          <cell r="E14">
            <v>20</v>
          </cell>
          <cell r="F14">
            <v>5</v>
          </cell>
          <cell r="G14">
            <v>0</v>
          </cell>
          <cell r="H14">
            <v>0</v>
          </cell>
          <cell r="I14">
            <v>0</v>
          </cell>
          <cell r="J14">
            <v>0</v>
          </cell>
          <cell r="K14">
            <v>10</v>
          </cell>
          <cell r="L14">
            <v>10</v>
          </cell>
          <cell r="M14">
            <v>0</v>
          </cell>
          <cell r="N14">
            <v>10</v>
          </cell>
          <cell r="O14">
            <v>16</v>
          </cell>
          <cell r="P14">
            <v>4</v>
          </cell>
          <cell r="Q14">
            <v>16</v>
          </cell>
          <cell r="R14">
            <v>4</v>
          </cell>
          <cell r="S14">
            <v>0</v>
          </cell>
          <cell r="T14">
            <v>0</v>
          </cell>
          <cell r="U14">
            <v>0</v>
          </cell>
          <cell r="V14">
            <v>0</v>
          </cell>
          <cell r="W14">
            <v>8</v>
          </cell>
          <cell r="X14">
            <v>8</v>
          </cell>
          <cell r="Y14">
            <v>0</v>
          </cell>
          <cell r="Z14">
            <v>8</v>
          </cell>
          <cell r="AA14">
            <v>36</v>
          </cell>
          <cell r="AB14">
            <v>9</v>
          </cell>
          <cell r="AC14">
            <v>36</v>
          </cell>
          <cell r="AD14">
            <v>9</v>
          </cell>
          <cell r="AE14">
            <v>0</v>
          </cell>
          <cell r="AF14">
            <v>0</v>
          </cell>
          <cell r="AG14">
            <v>0</v>
          </cell>
          <cell r="AH14">
            <v>0</v>
          </cell>
          <cell r="AI14">
            <v>18</v>
          </cell>
          <cell r="AJ14">
            <v>18</v>
          </cell>
          <cell r="AK14">
            <v>0</v>
          </cell>
          <cell r="AL14">
            <v>18</v>
          </cell>
          <cell r="AM14" t="str">
            <v xml:space="preserve">Ananda DEWI GALUH MULANSARI,  sangat jujur, disiplin, dan sudah mampu meningkatkan sikap percaya diri, </v>
          </cell>
        </row>
        <row r="15">
          <cell r="A15">
            <v>5</v>
          </cell>
          <cell r="B15" t="str">
            <v>DIAN PUJI LESTARI</v>
          </cell>
          <cell r="C15">
            <v>20</v>
          </cell>
          <cell r="D15">
            <v>5</v>
          </cell>
          <cell r="E15">
            <v>20</v>
          </cell>
          <cell r="F15">
            <v>5</v>
          </cell>
          <cell r="G15">
            <v>0</v>
          </cell>
          <cell r="H15">
            <v>0</v>
          </cell>
          <cell r="I15">
            <v>0</v>
          </cell>
          <cell r="J15">
            <v>0</v>
          </cell>
          <cell r="K15">
            <v>10</v>
          </cell>
          <cell r="L15">
            <v>10</v>
          </cell>
          <cell r="M15">
            <v>0</v>
          </cell>
          <cell r="N15">
            <v>10</v>
          </cell>
          <cell r="O15">
            <v>16</v>
          </cell>
          <cell r="P15">
            <v>4</v>
          </cell>
          <cell r="Q15">
            <v>16</v>
          </cell>
          <cell r="R15">
            <v>4</v>
          </cell>
          <cell r="S15">
            <v>0</v>
          </cell>
          <cell r="T15">
            <v>0</v>
          </cell>
          <cell r="U15">
            <v>0</v>
          </cell>
          <cell r="V15">
            <v>0</v>
          </cell>
          <cell r="W15">
            <v>8</v>
          </cell>
          <cell r="X15">
            <v>8</v>
          </cell>
          <cell r="Y15">
            <v>0</v>
          </cell>
          <cell r="Z15">
            <v>8</v>
          </cell>
          <cell r="AA15">
            <v>36</v>
          </cell>
          <cell r="AB15">
            <v>9</v>
          </cell>
          <cell r="AC15">
            <v>36</v>
          </cell>
          <cell r="AD15">
            <v>9</v>
          </cell>
          <cell r="AE15">
            <v>0</v>
          </cell>
          <cell r="AF15">
            <v>0</v>
          </cell>
          <cell r="AG15">
            <v>0</v>
          </cell>
          <cell r="AH15">
            <v>0</v>
          </cell>
          <cell r="AI15">
            <v>18</v>
          </cell>
          <cell r="AJ15">
            <v>18</v>
          </cell>
          <cell r="AK15">
            <v>0</v>
          </cell>
          <cell r="AL15">
            <v>18</v>
          </cell>
          <cell r="AM15" t="str">
            <v xml:space="preserve">Ananda DIAN PUJI LESTARI,  sangat jujur, disiplin, dan sudah mampu meningkatkan sikap percaya diri, </v>
          </cell>
        </row>
        <row r="16">
          <cell r="A16">
            <v>6</v>
          </cell>
          <cell r="B16" t="str">
            <v>Hafidz Langgeng Prasetyo</v>
          </cell>
          <cell r="C16">
            <v>20</v>
          </cell>
          <cell r="D16">
            <v>5</v>
          </cell>
          <cell r="E16">
            <v>20</v>
          </cell>
          <cell r="F16">
            <v>5</v>
          </cell>
          <cell r="G16">
            <v>0</v>
          </cell>
          <cell r="H16">
            <v>0</v>
          </cell>
          <cell r="I16">
            <v>0</v>
          </cell>
          <cell r="J16">
            <v>0</v>
          </cell>
          <cell r="K16">
            <v>10</v>
          </cell>
          <cell r="L16">
            <v>10</v>
          </cell>
          <cell r="M16">
            <v>0</v>
          </cell>
          <cell r="N16">
            <v>10</v>
          </cell>
          <cell r="O16">
            <v>16</v>
          </cell>
          <cell r="P16">
            <v>4</v>
          </cell>
          <cell r="Q16">
            <v>16</v>
          </cell>
          <cell r="R16">
            <v>4</v>
          </cell>
          <cell r="S16">
            <v>0</v>
          </cell>
          <cell r="T16">
            <v>0</v>
          </cell>
          <cell r="U16">
            <v>0</v>
          </cell>
          <cell r="V16">
            <v>0</v>
          </cell>
          <cell r="W16">
            <v>8</v>
          </cell>
          <cell r="X16">
            <v>8</v>
          </cell>
          <cell r="Y16">
            <v>0</v>
          </cell>
          <cell r="Z16">
            <v>8</v>
          </cell>
          <cell r="AA16">
            <v>36</v>
          </cell>
          <cell r="AB16">
            <v>9</v>
          </cell>
          <cell r="AC16">
            <v>36</v>
          </cell>
          <cell r="AD16">
            <v>9</v>
          </cell>
          <cell r="AE16">
            <v>0</v>
          </cell>
          <cell r="AF16">
            <v>0</v>
          </cell>
          <cell r="AG16">
            <v>0</v>
          </cell>
          <cell r="AH16">
            <v>0</v>
          </cell>
          <cell r="AI16">
            <v>18</v>
          </cell>
          <cell r="AJ16">
            <v>18</v>
          </cell>
          <cell r="AK16">
            <v>0</v>
          </cell>
          <cell r="AL16">
            <v>18</v>
          </cell>
          <cell r="AM16" t="str">
            <v xml:space="preserve">Ananda Hafidz Langgeng Prasetyo,  sangat jujur, disiplin, dan sudah mampu meningkatkan sikap percaya diri, </v>
          </cell>
        </row>
        <row r="17">
          <cell r="A17">
            <v>7</v>
          </cell>
          <cell r="B17" t="str">
            <v>JALU ARTHA AJI MANGGALA HANDOKO</v>
          </cell>
          <cell r="C17">
            <v>20</v>
          </cell>
          <cell r="D17">
            <v>5</v>
          </cell>
          <cell r="E17">
            <v>20</v>
          </cell>
          <cell r="F17">
            <v>5</v>
          </cell>
          <cell r="G17">
            <v>0</v>
          </cell>
          <cell r="H17">
            <v>0</v>
          </cell>
          <cell r="I17">
            <v>0</v>
          </cell>
          <cell r="J17">
            <v>0</v>
          </cell>
          <cell r="K17">
            <v>10</v>
          </cell>
          <cell r="L17">
            <v>10</v>
          </cell>
          <cell r="M17">
            <v>0</v>
          </cell>
          <cell r="N17">
            <v>10</v>
          </cell>
          <cell r="O17">
            <v>16</v>
          </cell>
          <cell r="P17">
            <v>4</v>
          </cell>
          <cell r="Q17">
            <v>16</v>
          </cell>
          <cell r="R17">
            <v>4</v>
          </cell>
          <cell r="S17">
            <v>0</v>
          </cell>
          <cell r="T17">
            <v>0</v>
          </cell>
          <cell r="U17">
            <v>0</v>
          </cell>
          <cell r="V17">
            <v>0</v>
          </cell>
          <cell r="W17">
            <v>8</v>
          </cell>
          <cell r="X17">
            <v>8</v>
          </cell>
          <cell r="Y17">
            <v>0</v>
          </cell>
          <cell r="Z17">
            <v>8</v>
          </cell>
          <cell r="AA17">
            <v>36</v>
          </cell>
          <cell r="AB17">
            <v>9</v>
          </cell>
          <cell r="AC17">
            <v>36</v>
          </cell>
          <cell r="AD17">
            <v>9</v>
          </cell>
          <cell r="AE17">
            <v>0</v>
          </cell>
          <cell r="AF17">
            <v>0</v>
          </cell>
          <cell r="AG17">
            <v>0</v>
          </cell>
          <cell r="AH17">
            <v>0</v>
          </cell>
          <cell r="AI17">
            <v>18</v>
          </cell>
          <cell r="AJ17">
            <v>18</v>
          </cell>
          <cell r="AK17">
            <v>0</v>
          </cell>
          <cell r="AL17">
            <v>18</v>
          </cell>
          <cell r="AM17" t="str">
            <v xml:space="preserve">Ananda JALU ARTHA AJI MANGGALA HANDOKO,  sangat jujur, disiplin, dan sudah mampu meningkatkan sikap percaya diri, </v>
          </cell>
        </row>
        <row r="18">
          <cell r="A18">
            <v>8</v>
          </cell>
          <cell r="B18" t="str">
            <v>LAURENDHO RADIEFCA MURDIONO</v>
          </cell>
          <cell r="C18">
            <v>20</v>
          </cell>
          <cell r="D18">
            <v>5</v>
          </cell>
          <cell r="E18">
            <v>20</v>
          </cell>
          <cell r="F18">
            <v>5</v>
          </cell>
          <cell r="G18">
            <v>0</v>
          </cell>
          <cell r="H18">
            <v>0</v>
          </cell>
          <cell r="I18">
            <v>0</v>
          </cell>
          <cell r="J18">
            <v>0</v>
          </cell>
          <cell r="K18">
            <v>10</v>
          </cell>
          <cell r="L18">
            <v>10</v>
          </cell>
          <cell r="M18">
            <v>0</v>
          </cell>
          <cell r="N18">
            <v>10</v>
          </cell>
          <cell r="O18">
            <v>16</v>
          </cell>
          <cell r="P18">
            <v>4</v>
          </cell>
          <cell r="Q18">
            <v>16</v>
          </cell>
          <cell r="R18">
            <v>4</v>
          </cell>
          <cell r="S18">
            <v>0</v>
          </cell>
          <cell r="T18">
            <v>0</v>
          </cell>
          <cell r="U18">
            <v>0</v>
          </cell>
          <cell r="V18">
            <v>0</v>
          </cell>
          <cell r="W18">
            <v>8</v>
          </cell>
          <cell r="X18">
            <v>8</v>
          </cell>
          <cell r="Y18">
            <v>0</v>
          </cell>
          <cell r="Z18">
            <v>8</v>
          </cell>
          <cell r="AA18">
            <v>36</v>
          </cell>
          <cell r="AB18">
            <v>9</v>
          </cell>
          <cell r="AC18">
            <v>36</v>
          </cell>
          <cell r="AD18">
            <v>9</v>
          </cell>
          <cell r="AE18">
            <v>0</v>
          </cell>
          <cell r="AF18">
            <v>0</v>
          </cell>
          <cell r="AG18">
            <v>0</v>
          </cell>
          <cell r="AH18">
            <v>0</v>
          </cell>
          <cell r="AI18">
            <v>18</v>
          </cell>
          <cell r="AJ18">
            <v>18</v>
          </cell>
          <cell r="AK18">
            <v>0</v>
          </cell>
          <cell r="AL18">
            <v>18</v>
          </cell>
          <cell r="AM18" t="str">
            <v xml:space="preserve">Ananda LAURENDHO RADIEFCA MURDIONO,  sangat jujur, disiplin, dan sudah mampu meningkatkan sikap percaya diri, </v>
          </cell>
        </row>
        <row r="19">
          <cell r="A19">
            <v>9</v>
          </cell>
          <cell r="B19" t="str">
            <v>MARSYA MAYDINA DWI RISQITA</v>
          </cell>
          <cell r="C19">
            <v>20</v>
          </cell>
          <cell r="D19">
            <v>5</v>
          </cell>
          <cell r="E19">
            <v>20</v>
          </cell>
          <cell r="F19">
            <v>5</v>
          </cell>
          <cell r="G19">
            <v>0</v>
          </cell>
          <cell r="H19">
            <v>0</v>
          </cell>
          <cell r="I19">
            <v>0</v>
          </cell>
          <cell r="J19">
            <v>0</v>
          </cell>
          <cell r="K19">
            <v>10</v>
          </cell>
          <cell r="L19">
            <v>10</v>
          </cell>
          <cell r="M19">
            <v>0</v>
          </cell>
          <cell r="N19">
            <v>10</v>
          </cell>
          <cell r="O19">
            <v>16</v>
          </cell>
          <cell r="P19">
            <v>4</v>
          </cell>
          <cell r="Q19">
            <v>16</v>
          </cell>
          <cell r="R19">
            <v>4</v>
          </cell>
          <cell r="S19">
            <v>0</v>
          </cell>
          <cell r="T19">
            <v>0</v>
          </cell>
          <cell r="U19">
            <v>0</v>
          </cell>
          <cell r="V19">
            <v>0</v>
          </cell>
          <cell r="W19">
            <v>8</v>
          </cell>
          <cell r="X19">
            <v>8</v>
          </cell>
          <cell r="Y19">
            <v>0</v>
          </cell>
          <cell r="Z19">
            <v>8</v>
          </cell>
          <cell r="AA19">
            <v>36</v>
          </cell>
          <cell r="AB19">
            <v>9</v>
          </cell>
          <cell r="AC19">
            <v>36</v>
          </cell>
          <cell r="AD19">
            <v>9</v>
          </cell>
          <cell r="AE19">
            <v>0</v>
          </cell>
          <cell r="AF19">
            <v>0</v>
          </cell>
          <cell r="AG19">
            <v>0</v>
          </cell>
          <cell r="AH19">
            <v>0</v>
          </cell>
          <cell r="AI19">
            <v>18</v>
          </cell>
          <cell r="AJ19">
            <v>18</v>
          </cell>
          <cell r="AK19">
            <v>0</v>
          </cell>
          <cell r="AL19">
            <v>18</v>
          </cell>
          <cell r="AM19" t="str">
            <v xml:space="preserve">Ananda MARSYA MAYDINA DWI RISQITA,  sangat jujur, disiplin, dan sudah mampu meningkatkan sikap percaya diri, </v>
          </cell>
        </row>
        <row r="20">
          <cell r="A20">
            <v>10</v>
          </cell>
          <cell r="B20" t="str">
            <v>MILA SARASWATI</v>
          </cell>
          <cell r="C20">
            <v>20</v>
          </cell>
          <cell r="D20">
            <v>5</v>
          </cell>
          <cell r="E20">
            <v>20</v>
          </cell>
          <cell r="F20">
            <v>5</v>
          </cell>
          <cell r="G20">
            <v>0</v>
          </cell>
          <cell r="H20">
            <v>0</v>
          </cell>
          <cell r="I20">
            <v>0</v>
          </cell>
          <cell r="J20">
            <v>0</v>
          </cell>
          <cell r="K20">
            <v>10</v>
          </cell>
          <cell r="L20">
            <v>10</v>
          </cell>
          <cell r="M20">
            <v>0</v>
          </cell>
          <cell r="N20">
            <v>10</v>
          </cell>
          <cell r="O20">
            <v>16</v>
          </cell>
          <cell r="P20">
            <v>4</v>
          </cell>
          <cell r="Q20">
            <v>16</v>
          </cell>
          <cell r="R20">
            <v>4</v>
          </cell>
          <cell r="S20">
            <v>0</v>
          </cell>
          <cell r="T20">
            <v>0</v>
          </cell>
          <cell r="U20">
            <v>0</v>
          </cell>
          <cell r="V20">
            <v>0</v>
          </cell>
          <cell r="W20">
            <v>8</v>
          </cell>
          <cell r="X20">
            <v>8</v>
          </cell>
          <cell r="Y20">
            <v>0</v>
          </cell>
          <cell r="Z20">
            <v>8</v>
          </cell>
          <cell r="AA20">
            <v>36</v>
          </cell>
          <cell r="AB20">
            <v>9</v>
          </cell>
          <cell r="AC20">
            <v>36</v>
          </cell>
          <cell r="AD20">
            <v>9</v>
          </cell>
          <cell r="AE20">
            <v>0</v>
          </cell>
          <cell r="AF20">
            <v>0</v>
          </cell>
          <cell r="AG20">
            <v>0</v>
          </cell>
          <cell r="AH20">
            <v>0</v>
          </cell>
          <cell r="AI20">
            <v>18</v>
          </cell>
          <cell r="AJ20">
            <v>18</v>
          </cell>
          <cell r="AK20">
            <v>0</v>
          </cell>
          <cell r="AL20">
            <v>18</v>
          </cell>
          <cell r="AM20" t="str">
            <v xml:space="preserve">Ananda MILA SARASWATI,  sangat jujur, disiplin, dan sudah mampu meningkatkan sikap percaya diri, </v>
          </cell>
        </row>
        <row r="21">
          <cell r="A21">
            <v>11</v>
          </cell>
          <cell r="B21" t="str">
            <v>MUHAMMAD ARKAN ALLY RACHMAD</v>
          </cell>
          <cell r="C21">
            <v>20</v>
          </cell>
          <cell r="D21">
            <v>5</v>
          </cell>
          <cell r="E21">
            <v>20</v>
          </cell>
          <cell r="F21">
            <v>5</v>
          </cell>
          <cell r="G21">
            <v>0</v>
          </cell>
          <cell r="H21">
            <v>0</v>
          </cell>
          <cell r="I21">
            <v>0</v>
          </cell>
          <cell r="J21">
            <v>0</v>
          </cell>
          <cell r="K21">
            <v>10</v>
          </cell>
          <cell r="L21">
            <v>10</v>
          </cell>
          <cell r="M21">
            <v>0</v>
          </cell>
          <cell r="N21">
            <v>10</v>
          </cell>
          <cell r="O21">
            <v>16</v>
          </cell>
          <cell r="P21">
            <v>4</v>
          </cell>
          <cell r="Q21">
            <v>16</v>
          </cell>
          <cell r="R21">
            <v>4</v>
          </cell>
          <cell r="S21">
            <v>0</v>
          </cell>
          <cell r="T21">
            <v>0</v>
          </cell>
          <cell r="U21">
            <v>0</v>
          </cell>
          <cell r="V21">
            <v>2</v>
          </cell>
          <cell r="W21">
            <v>8</v>
          </cell>
          <cell r="X21">
            <v>8</v>
          </cell>
          <cell r="Y21">
            <v>0</v>
          </cell>
          <cell r="Z21">
            <v>8</v>
          </cell>
          <cell r="AA21">
            <v>36</v>
          </cell>
          <cell r="AB21">
            <v>9</v>
          </cell>
          <cell r="AC21">
            <v>36</v>
          </cell>
          <cell r="AD21">
            <v>9</v>
          </cell>
          <cell r="AE21">
            <v>0</v>
          </cell>
          <cell r="AF21">
            <v>0</v>
          </cell>
          <cell r="AG21">
            <v>0</v>
          </cell>
          <cell r="AH21">
            <v>2</v>
          </cell>
          <cell r="AI21">
            <v>18</v>
          </cell>
          <cell r="AJ21">
            <v>18</v>
          </cell>
          <cell r="AK21">
            <v>0</v>
          </cell>
          <cell r="AL21">
            <v>18</v>
          </cell>
          <cell r="AM21" t="str">
            <v xml:space="preserve">Ananda MUHAMMAD ARKAN ALLY RACHMAD,  sangat jujur, disiplin, dan sudah mampu meningkatkan sikap santun, percaya diri, </v>
          </cell>
        </row>
        <row r="22">
          <cell r="A22">
            <v>12</v>
          </cell>
          <cell r="B22" t="str">
            <v>MUHAMMAD REVIAN ABDULLOH FAQIH</v>
          </cell>
          <cell r="C22">
            <v>20</v>
          </cell>
          <cell r="D22">
            <v>5</v>
          </cell>
          <cell r="E22">
            <v>20</v>
          </cell>
          <cell r="F22">
            <v>5</v>
          </cell>
          <cell r="G22">
            <v>0</v>
          </cell>
          <cell r="H22">
            <v>0</v>
          </cell>
          <cell r="I22">
            <v>0</v>
          </cell>
          <cell r="J22">
            <v>0</v>
          </cell>
          <cell r="K22">
            <v>10</v>
          </cell>
          <cell r="L22">
            <v>10</v>
          </cell>
          <cell r="M22">
            <v>0</v>
          </cell>
          <cell r="N22">
            <v>10</v>
          </cell>
          <cell r="O22">
            <v>16</v>
          </cell>
          <cell r="P22">
            <v>4</v>
          </cell>
          <cell r="Q22">
            <v>16</v>
          </cell>
          <cell r="R22">
            <v>4</v>
          </cell>
          <cell r="S22">
            <v>0</v>
          </cell>
          <cell r="T22">
            <v>0</v>
          </cell>
          <cell r="U22">
            <v>0</v>
          </cell>
          <cell r="V22">
            <v>0</v>
          </cell>
          <cell r="W22">
            <v>8</v>
          </cell>
          <cell r="X22">
            <v>8</v>
          </cell>
          <cell r="Y22">
            <v>0</v>
          </cell>
          <cell r="Z22">
            <v>8</v>
          </cell>
          <cell r="AA22">
            <v>36</v>
          </cell>
          <cell r="AB22">
            <v>9</v>
          </cell>
          <cell r="AC22">
            <v>36</v>
          </cell>
          <cell r="AD22">
            <v>9</v>
          </cell>
          <cell r="AE22">
            <v>0</v>
          </cell>
          <cell r="AF22">
            <v>0</v>
          </cell>
          <cell r="AG22">
            <v>0</v>
          </cell>
          <cell r="AH22">
            <v>0</v>
          </cell>
          <cell r="AI22">
            <v>18</v>
          </cell>
          <cell r="AJ22">
            <v>18</v>
          </cell>
          <cell r="AK22">
            <v>0</v>
          </cell>
          <cell r="AL22">
            <v>18</v>
          </cell>
          <cell r="AM22" t="str">
            <v xml:space="preserve">Ananda MUHAMMAD REVIAN ABDULLOH FAQIH,  sangat jujur, disiplin, dan sudah mampu meningkatkan sikap percaya diri, </v>
          </cell>
        </row>
        <row r="23">
          <cell r="A23">
            <v>13</v>
          </cell>
          <cell r="B23" t="str">
            <v>NABILA AYUNINGTIAS</v>
          </cell>
          <cell r="C23">
            <v>20</v>
          </cell>
          <cell r="D23">
            <v>5</v>
          </cell>
          <cell r="E23">
            <v>20</v>
          </cell>
          <cell r="F23">
            <v>5</v>
          </cell>
          <cell r="G23">
            <v>0</v>
          </cell>
          <cell r="H23">
            <v>0</v>
          </cell>
          <cell r="I23">
            <v>0</v>
          </cell>
          <cell r="J23">
            <v>0</v>
          </cell>
          <cell r="K23">
            <v>10</v>
          </cell>
          <cell r="L23">
            <v>10</v>
          </cell>
          <cell r="M23">
            <v>0</v>
          </cell>
          <cell r="N23">
            <v>10</v>
          </cell>
          <cell r="O23">
            <v>16</v>
          </cell>
          <cell r="P23">
            <v>4</v>
          </cell>
          <cell r="Q23">
            <v>16</v>
          </cell>
          <cell r="R23">
            <v>4</v>
          </cell>
          <cell r="S23">
            <v>0</v>
          </cell>
          <cell r="T23">
            <v>0</v>
          </cell>
          <cell r="U23">
            <v>0</v>
          </cell>
          <cell r="V23">
            <v>0</v>
          </cell>
          <cell r="W23">
            <v>8</v>
          </cell>
          <cell r="X23">
            <v>8</v>
          </cell>
          <cell r="Y23">
            <v>0</v>
          </cell>
          <cell r="Z23">
            <v>8</v>
          </cell>
          <cell r="AA23">
            <v>36</v>
          </cell>
          <cell r="AB23">
            <v>9</v>
          </cell>
          <cell r="AC23">
            <v>36</v>
          </cell>
          <cell r="AD23">
            <v>9</v>
          </cell>
          <cell r="AE23">
            <v>0</v>
          </cell>
          <cell r="AF23">
            <v>0</v>
          </cell>
          <cell r="AG23">
            <v>0</v>
          </cell>
          <cell r="AH23">
            <v>0</v>
          </cell>
          <cell r="AI23">
            <v>18</v>
          </cell>
          <cell r="AJ23">
            <v>18</v>
          </cell>
          <cell r="AK23">
            <v>0</v>
          </cell>
          <cell r="AL23">
            <v>18</v>
          </cell>
          <cell r="AM23" t="str">
            <v xml:space="preserve">Ananda NABILA AYUNINGTIAS,  sangat jujur, disiplin, dan sudah mampu meningkatkan sikap percaya diri, </v>
          </cell>
        </row>
        <row r="24">
          <cell r="A24">
            <v>14</v>
          </cell>
          <cell r="B24" t="str">
            <v>NARESWARI MASAYU PUSPANINGRUM</v>
          </cell>
          <cell r="C24">
            <v>20</v>
          </cell>
          <cell r="D24">
            <v>5</v>
          </cell>
          <cell r="E24">
            <v>20</v>
          </cell>
          <cell r="F24">
            <v>5</v>
          </cell>
          <cell r="G24">
            <v>0</v>
          </cell>
          <cell r="H24">
            <v>0</v>
          </cell>
          <cell r="I24">
            <v>0</v>
          </cell>
          <cell r="J24">
            <v>0</v>
          </cell>
          <cell r="K24">
            <v>10</v>
          </cell>
          <cell r="L24">
            <v>10</v>
          </cell>
          <cell r="M24">
            <v>0</v>
          </cell>
          <cell r="N24">
            <v>10</v>
          </cell>
          <cell r="O24">
            <v>16</v>
          </cell>
          <cell r="P24">
            <v>4</v>
          </cell>
          <cell r="Q24">
            <v>16</v>
          </cell>
          <cell r="R24">
            <v>4</v>
          </cell>
          <cell r="S24">
            <v>0</v>
          </cell>
          <cell r="T24">
            <v>0</v>
          </cell>
          <cell r="U24">
            <v>0</v>
          </cell>
          <cell r="V24">
            <v>0</v>
          </cell>
          <cell r="W24">
            <v>8</v>
          </cell>
          <cell r="X24">
            <v>8</v>
          </cell>
          <cell r="Y24">
            <v>0</v>
          </cell>
          <cell r="Z24">
            <v>8</v>
          </cell>
          <cell r="AA24">
            <v>36</v>
          </cell>
          <cell r="AB24">
            <v>9</v>
          </cell>
          <cell r="AC24">
            <v>36</v>
          </cell>
          <cell r="AD24">
            <v>9</v>
          </cell>
          <cell r="AE24">
            <v>0</v>
          </cell>
          <cell r="AF24">
            <v>0</v>
          </cell>
          <cell r="AG24">
            <v>0</v>
          </cell>
          <cell r="AH24">
            <v>0</v>
          </cell>
          <cell r="AI24">
            <v>18</v>
          </cell>
          <cell r="AJ24">
            <v>18</v>
          </cell>
          <cell r="AK24">
            <v>0</v>
          </cell>
          <cell r="AL24">
            <v>18</v>
          </cell>
          <cell r="AM24" t="str">
            <v xml:space="preserve">Ananda NARESWARI MASAYU PUSPANINGRUM,  sangat jujur, disiplin, dan sudah mampu meningkatkan sikap percaya diri, </v>
          </cell>
        </row>
        <row r="25">
          <cell r="A25">
            <v>15</v>
          </cell>
          <cell r="B25" t="str">
            <v>NOVA SASMYTA</v>
          </cell>
          <cell r="C25">
            <v>20</v>
          </cell>
          <cell r="D25">
            <v>5</v>
          </cell>
          <cell r="E25">
            <v>20</v>
          </cell>
          <cell r="F25">
            <v>5</v>
          </cell>
          <cell r="G25">
            <v>0</v>
          </cell>
          <cell r="H25">
            <v>0</v>
          </cell>
          <cell r="I25">
            <v>0</v>
          </cell>
          <cell r="J25">
            <v>0</v>
          </cell>
          <cell r="K25">
            <v>10</v>
          </cell>
          <cell r="L25">
            <v>10</v>
          </cell>
          <cell r="M25">
            <v>0</v>
          </cell>
          <cell r="N25">
            <v>10</v>
          </cell>
          <cell r="O25">
            <v>16</v>
          </cell>
          <cell r="P25">
            <v>4</v>
          </cell>
          <cell r="Q25">
            <v>16</v>
          </cell>
          <cell r="R25">
            <v>4</v>
          </cell>
          <cell r="S25">
            <v>0</v>
          </cell>
          <cell r="T25">
            <v>0</v>
          </cell>
          <cell r="U25">
            <v>0</v>
          </cell>
          <cell r="V25">
            <v>0</v>
          </cell>
          <cell r="W25">
            <v>8</v>
          </cell>
          <cell r="X25">
            <v>8</v>
          </cell>
          <cell r="Y25">
            <v>0</v>
          </cell>
          <cell r="Z25">
            <v>8</v>
          </cell>
          <cell r="AA25">
            <v>36</v>
          </cell>
          <cell r="AB25">
            <v>9</v>
          </cell>
          <cell r="AC25">
            <v>36</v>
          </cell>
          <cell r="AD25">
            <v>9</v>
          </cell>
          <cell r="AE25">
            <v>0</v>
          </cell>
          <cell r="AF25">
            <v>0</v>
          </cell>
          <cell r="AG25">
            <v>0</v>
          </cell>
          <cell r="AH25">
            <v>0</v>
          </cell>
          <cell r="AI25">
            <v>18</v>
          </cell>
          <cell r="AJ25">
            <v>18</v>
          </cell>
          <cell r="AK25">
            <v>0</v>
          </cell>
          <cell r="AL25">
            <v>18</v>
          </cell>
          <cell r="AM25" t="str">
            <v xml:space="preserve">Ananda NOVA SASMYTA,  sangat jujur, disiplin, dan sudah mampu meningkatkan sikap percaya diri, </v>
          </cell>
        </row>
        <row r="26">
          <cell r="A26">
            <v>16</v>
          </cell>
          <cell r="B26" t="str">
            <v>RIDHA RAHMATUL AULA RIDWAN</v>
          </cell>
          <cell r="C26">
            <v>20</v>
          </cell>
          <cell r="D26">
            <v>5</v>
          </cell>
          <cell r="E26">
            <v>20</v>
          </cell>
          <cell r="F26">
            <v>5</v>
          </cell>
          <cell r="G26">
            <v>0</v>
          </cell>
          <cell r="H26">
            <v>0</v>
          </cell>
          <cell r="I26">
            <v>0</v>
          </cell>
          <cell r="J26">
            <v>0</v>
          </cell>
          <cell r="K26">
            <v>10</v>
          </cell>
          <cell r="L26">
            <v>10</v>
          </cell>
          <cell r="M26">
            <v>0</v>
          </cell>
          <cell r="N26">
            <v>10</v>
          </cell>
          <cell r="O26">
            <v>16</v>
          </cell>
          <cell r="P26">
            <v>4</v>
          </cell>
          <cell r="Q26">
            <v>16</v>
          </cell>
          <cell r="R26">
            <v>4</v>
          </cell>
          <cell r="S26">
            <v>0</v>
          </cell>
          <cell r="T26">
            <v>0</v>
          </cell>
          <cell r="U26">
            <v>0</v>
          </cell>
          <cell r="V26">
            <v>0</v>
          </cell>
          <cell r="W26">
            <v>8</v>
          </cell>
          <cell r="X26">
            <v>8</v>
          </cell>
          <cell r="Y26">
            <v>0</v>
          </cell>
          <cell r="Z26">
            <v>8</v>
          </cell>
          <cell r="AA26">
            <v>36</v>
          </cell>
          <cell r="AB26">
            <v>9</v>
          </cell>
          <cell r="AC26">
            <v>36</v>
          </cell>
          <cell r="AD26">
            <v>9</v>
          </cell>
          <cell r="AE26">
            <v>0</v>
          </cell>
          <cell r="AF26">
            <v>0</v>
          </cell>
          <cell r="AG26">
            <v>0</v>
          </cell>
          <cell r="AH26">
            <v>0</v>
          </cell>
          <cell r="AI26">
            <v>18</v>
          </cell>
          <cell r="AJ26">
            <v>18</v>
          </cell>
          <cell r="AK26">
            <v>0</v>
          </cell>
          <cell r="AL26">
            <v>18</v>
          </cell>
          <cell r="AM26" t="str">
            <v xml:space="preserve">Ananda RIDHA RAHMATUL AULA RIDWAN,  sangat jujur, disiplin, dan sudah mampu meningkatkan sikap percaya diri, </v>
          </cell>
        </row>
        <row r="27">
          <cell r="A27">
            <v>17</v>
          </cell>
          <cell r="B27" t="str">
            <v>RIFDA SALSABILA PURNAMA</v>
          </cell>
          <cell r="C27">
            <v>20</v>
          </cell>
          <cell r="D27">
            <v>5</v>
          </cell>
          <cell r="E27">
            <v>20</v>
          </cell>
          <cell r="F27">
            <v>5</v>
          </cell>
          <cell r="G27">
            <v>0</v>
          </cell>
          <cell r="H27">
            <v>0</v>
          </cell>
          <cell r="I27">
            <v>0</v>
          </cell>
          <cell r="J27">
            <v>0</v>
          </cell>
          <cell r="K27">
            <v>10</v>
          </cell>
          <cell r="L27">
            <v>10</v>
          </cell>
          <cell r="M27">
            <v>0</v>
          </cell>
          <cell r="N27">
            <v>10</v>
          </cell>
          <cell r="O27">
            <v>16</v>
          </cell>
          <cell r="P27">
            <v>4</v>
          </cell>
          <cell r="Q27">
            <v>16</v>
          </cell>
          <cell r="R27">
            <v>4</v>
          </cell>
          <cell r="S27">
            <v>0</v>
          </cell>
          <cell r="T27">
            <v>0</v>
          </cell>
          <cell r="U27">
            <v>0</v>
          </cell>
          <cell r="V27">
            <v>0</v>
          </cell>
          <cell r="W27">
            <v>8</v>
          </cell>
          <cell r="X27">
            <v>8</v>
          </cell>
          <cell r="Y27">
            <v>0</v>
          </cell>
          <cell r="Z27">
            <v>8</v>
          </cell>
          <cell r="AA27">
            <v>36</v>
          </cell>
          <cell r="AB27">
            <v>9</v>
          </cell>
          <cell r="AC27">
            <v>36</v>
          </cell>
          <cell r="AD27">
            <v>9</v>
          </cell>
          <cell r="AE27">
            <v>0</v>
          </cell>
          <cell r="AF27">
            <v>0</v>
          </cell>
          <cell r="AG27">
            <v>0</v>
          </cell>
          <cell r="AH27">
            <v>0</v>
          </cell>
          <cell r="AI27">
            <v>18</v>
          </cell>
          <cell r="AJ27">
            <v>18</v>
          </cell>
          <cell r="AK27">
            <v>0</v>
          </cell>
          <cell r="AL27">
            <v>18</v>
          </cell>
          <cell r="AM27" t="str">
            <v xml:space="preserve">Ananda RIFDA SALSABILA PURNAMA,  sangat jujur, disiplin, dan sudah mampu meningkatkan sikap percaya diri, </v>
          </cell>
        </row>
        <row r="28">
          <cell r="A28">
            <v>18</v>
          </cell>
          <cell r="B28" t="str">
            <v>RIZKI INTAN KURNIAENDAH</v>
          </cell>
          <cell r="C28">
            <v>20</v>
          </cell>
          <cell r="D28">
            <v>5</v>
          </cell>
          <cell r="E28">
            <v>20</v>
          </cell>
          <cell r="F28">
            <v>5</v>
          </cell>
          <cell r="G28">
            <v>0</v>
          </cell>
          <cell r="H28">
            <v>0</v>
          </cell>
          <cell r="I28">
            <v>0</v>
          </cell>
          <cell r="J28">
            <v>0</v>
          </cell>
          <cell r="K28">
            <v>10</v>
          </cell>
          <cell r="L28">
            <v>10</v>
          </cell>
          <cell r="M28">
            <v>0</v>
          </cell>
          <cell r="N28">
            <v>10</v>
          </cell>
          <cell r="O28">
            <v>16</v>
          </cell>
          <cell r="P28">
            <v>4</v>
          </cell>
          <cell r="Q28">
            <v>16</v>
          </cell>
          <cell r="R28">
            <v>4</v>
          </cell>
          <cell r="S28">
            <v>0</v>
          </cell>
          <cell r="T28">
            <v>0</v>
          </cell>
          <cell r="U28">
            <v>0</v>
          </cell>
          <cell r="V28">
            <v>0</v>
          </cell>
          <cell r="W28">
            <v>8</v>
          </cell>
          <cell r="X28">
            <v>8</v>
          </cell>
          <cell r="Y28">
            <v>0</v>
          </cell>
          <cell r="Z28">
            <v>8</v>
          </cell>
          <cell r="AA28">
            <v>36</v>
          </cell>
          <cell r="AB28">
            <v>9</v>
          </cell>
          <cell r="AC28">
            <v>36</v>
          </cell>
          <cell r="AD28">
            <v>9</v>
          </cell>
          <cell r="AE28">
            <v>0</v>
          </cell>
          <cell r="AF28">
            <v>0</v>
          </cell>
          <cell r="AG28">
            <v>0</v>
          </cell>
          <cell r="AH28">
            <v>0</v>
          </cell>
          <cell r="AI28">
            <v>18</v>
          </cell>
          <cell r="AJ28">
            <v>18</v>
          </cell>
          <cell r="AK28">
            <v>0</v>
          </cell>
          <cell r="AL28">
            <v>18</v>
          </cell>
          <cell r="AM28" t="str">
            <v xml:space="preserve">Ananda RIZKI INTAN KURNIAENDAH,  sangat jujur, disiplin, dan sudah mampu meningkatkan sikap percaya diri, </v>
          </cell>
        </row>
        <row r="29">
          <cell r="A29">
            <v>19</v>
          </cell>
          <cell r="B29" t="str">
            <v>RIZKY FIRMANSYAH</v>
          </cell>
          <cell r="C29">
            <v>20</v>
          </cell>
          <cell r="D29">
            <v>5</v>
          </cell>
          <cell r="E29">
            <v>20</v>
          </cell>
          <cell r="F29">
            <v>5</v>
          </cell>
          <cell r="G29">
            <v>0</v>
          </cell>
          <cell r="H29">
            <v>0</v>
          </cell>
          <cell r="I29">
            <v>0</v>
          </cell>
          <cell r="J29">
            <v>0</v>
          </cell>
          <cell r="K29">
            <v>10</v>
          </cell>
          <cell r="L29">
            <v>10</v>
          </cell>
          <cell r="M29">
            <v>0</v>
          </cell>
          <cell r="N29">
            <v>10</v>
          </cell>
          <cell r="O29">
            <v>16</v>
          </cell>
          <cell r="P29">
            <v>4</v>
          </cell>
          <cell r="Q29">
            <v>16</v>
          </cell>
          <cell r="R29">
            <v>4</v>
          </cell>
          <cell r="S29">
            <v>0</v>
          </cell>
          <cell r="T29">
            <v>0</v>
          </cell>
          <cell r="U29">
            <v>0</v>
          </cell>
          <cell r="V29">
            <v>0</v>
          </cell>
          <cell r="W29">
            <v>8</v>
          </cell>
          <cell r="X29">
            <v>8</v>
          </cell>
          <cell r="Y29">
            <v>0</v>
          </cell>
          <cell r="Z29">
            <v>8</v>
          </cell>
          <cell r="AA29">
            <v>36</v>
          </cell>
          <cell r="AB29">
            <v>9</v>
          </cell>
          <cell r="AC29">
            <v>36</v>
          </cell>
          <cell r="AD29">
            <v>9</v>
          </cell>
          <cell r="AE29">
            <v>0</v>
          </cell>
          <cell r="AF29">
            <v>0</v>
          </cell>
          <cell r="AG29">
            <v>0</v>
          </cell>
          <cell r="AH29">
            <v>0</v>
          </cell>
          <cell r="AI29">
            <v>18</v>
          </cell>
          <cell r="AJ29">
            <v>18</v>
          </cell>
          <cell r="AK29">
            <v>0</v>
          </cell>
          <cell r="AL29">
            <v>18</v>
          </cell>
          <cell r="AM29" t="str">
            <v xml:space="preserve">Ananda RIZKY FIRMANSYAH,  sangat jujur, disiplin, dan sudah mampu meningkatkan sikap percaya diri, </v>
          </cell>
        </row>
        <row r="30">
          <cell r="A30">
            <v>20</v>
          </cell>
          <cell r="B30" t="str">
            <v>SAFIRA NUR LAYLA RAMADHANI</v>
          </cell>
          <cell r="C30">
            <v>20</v>
          </cell>
          <cell r="D30">
            <v>5</v>
          </cell>
          <cell r="E30">
            <v>20</v>
          </cell>
          <cell r="F30">
            <v>5</v>
          </cell>
          <cell r="G30">
            <v>0</v>
          </cell>
          <cell r="H30">
            <v>0</v>
          </cell>
          <cell r="I30">
            <v>0</v>
          </cell>
          <cell r="J30">
            <v>0</v>
          </cell>
          <cell r="K30">
            <v>10</v>
          </cell>
          <cell r="L30">
            <v>10</v>
          </cell>
          <cell r="M30">
            <v>0</v>
          </cell>
          <cell r="N30">
            <v>10</v>
          </cell>
          <cell r="O30">
            <v>16</v>
          </cell>
          <cell r="P30">
            <v>4</v>
          </cell>
          <cell r="Q30">
            <v>16</v>
          </cell>
          <cell r="R30">
            <v>4</v>
          </cell>
          <cell r="S30">
            <v>0</v>
          </cell>
          <cell r="T30">
            <v>0</v>
          </cell>
          <cell r="U30">
            <v>0</v>
          </cell>
          <cell r="V30">
            <v>0</v>
          </cell>
          <cell r="W30">
            <v>8</v>
          </cell>
          <cell r="X30">
            <v>8</v>
          </cell>
          <cell r="Y30">
            <v>0</v>
          </cell>
          <cell r="Z30">
            <v>8</v>
          </cell>
          <cell r="AA30">
            <v>36</v>
          </cell>
          <cell r="AB30">
            <v>9</v>
          </cell>
          <cell r="AC30">
            <v>36</v>
          </cell>
          <cell r="AD30">
            <v>9</v>
          </cell>
          <cell r="AE30">
            <v>0</v>
          </cell>
          <cell r="AF30">
            <v>0</v>
          </cell>
          <cell r="AG30">
            <v>0</v>
          </cell>
          <cell r="AH30">
            <v>0</v>
          </cell>
          <cell r="AI30">
            <v>18</v>
          </cell>
          <cell r="AJ30">
            <v>18</v>
          </cell>
          <cell r="AK30">
            <v>0</v>
          </cell>
          <cell r="AL30">
            <v>18</v>
          </cell>
          <cell r="AM30" t="str">
            <v xml:space="preserve">Ananda SAFIRA NUR LAYLA RAMADHANI,  sangat jujur, disiplin, dan sudah mampu meningkatkan sikap percaya diri, </v>
          </cell>
        </row>
        <row r="31">
          <cell r="A31">
            <v>21</v>
          </cell>
          <cell r="B31" t="str">
            <v>SHANASTRI RUFAIDA</v>
          </cell>
          <cell r="C31">
            <v>20</v>
          </cell>
          <cell r="D31">
            <v>5</v>
          </cell>
          <cell r="E31">
            <v>20</v>
          </cell>
          <cell r="F31">
            <v>5</v>
          </cell>
          <cell r="G31">
            <v>0</v>
          </cell>
          <cell r="H31">
            <v>0</v>
          </cell>
          <cell r="I31">
            <v>0</v>
          </cell>
          <cell r="J31">
            <v>0</v>
          </cell>
          <cell r="K31">
            <v>10</v>
          </cell>
          <cell r="L31">
            <v>10</v>
          </cell>
          <cell r="M31">
            <v>0</v>
          </cell>
          <cell r="N31">
            <v>10</v>
          </cell>
          <cell r="O31">
            <v>16</v>
          </cell>
          <cell r="P31">
            <v>4</v>
          </cell>
          <cell r="Q31">
            <v>16</v>
          </cell>
          <cell r="R31">
            <v>4</v>
          </cell>
          <cell r="S31">
            <v>0</v>
          </cell>
          <cell r="T31">
            <v>0</v>
          </cell>
          <cell r="U31">
            <v>0</v>
          </cell>
          <cell r="V31">
            <v>0</v>
          </cell>
          <cell r="W31">
            <v>8</v>
          </cell>
          <cell r="X31">
            <v>8</v>
          </cell>
          <cell r="Y31">
            <v>0</v>
          </cell>
          <cell r="Z31">
            <v>8</v>
          </cell>
          <cell r="AA31">
            <v>36</v>
          </cell>
          <cell r="AB31">
            <v>9</v>
          </cell>
          <cell r="AC31">
            <v>36</v>
          </cell>
          <cell r="AD31">
            <v>9</v>
          </cell>
          <cell r="AE31">
            <v>0</v>
          </cell>
          <cell r="AF31">
            <v>0</v>
          </cell>
          <cell r="AG31">
            <v>0</v>
          </cell>
          <cell r="AH31">
            <v>0</v>
          </cell>
          <cell r="AI31">
            <v>18</v>
          </cell>
          <cell r="AJ31">
            <v>18</v>
          </cell>
          <cell r="AK31">
            <v>0</v>
          </cell>
          <cell r="AL31">
            <v>18</v>
          </cell>
          <cell r="AM31" t="str">
            <v xml:space="preserve">Ananda SHANASTRI RUFAIDA,  sangat jujur, disiplin, dan sudah mampu meningkatkan sikap percaya diri, </v>
          </cell>
        </row>
        <row r="32">
          <cell r="A32">
            <v>22</v>
          </cell>
          <cell r="B32" t="str">
            <v>SHIAM SAHARA</v>
          </cell>
          <cell r="C32">
            <v>20</v>
          </cell>
          <cell r="D32">
            <v>5</v>
          </cell>
          <cell r="E32">
            <v>20</v>
          </cell>
          <cell r="F32">
            <v>5</v>
          </cell>
          <cell r="G32">
            <v>0</v>
          </cell>
          <cell r="H32">
            <v>0</v>
          </cell>
          <cell r="I32">
            <v>0</v>
          </cell>
          <cell r="J32">
            <v>0</v>
          </cell>
          <cell r="K32">
            <v>10</v>
          </cell>
          <cell r="L32">
            <v>10</v>
          </cell>
          <cell r="M32">
            <v>0</v>
          </cell>
          <cell r="N32">
            <v>10</v>
          </cell>
          <cell r="O32">
            <v>16</v>
          </cell>
          <cell r="P32">
            <v>4</v>
          </cell>
          <cell r="Q32">
            <v>16</v>
          </cell>
          <cell r="R32">
            <v>4</v>
          </cell>
          <cell r="S32">
            <v>0</v>
          </cell>
          <cell r="T32">
            <v>0</v>
          </cell>
          <cell r="U32">
            <v>0</v>
          </cell>
          <cell r="V32">
            <v>0</v>
          </cell>
          <cell r="W32">
            <v>8</v>
          </cell>
          <cell r="X32">
            <v>8</v>
          </cell>
          <cell r="Y32">
            <v>0</v>
          </cell>
          <cell r="Z32">
            <v>8</v>
          </cell>
          <cell r="AA32">
            <v>36</v>
          </cell>
          <cell r="AB32">
            <v>9</v>
          </cell>
          <cell r="AC32">
            <v>36</v>
          </cell>
          <cell r="AD32">
            <v>9</v>
          </cell>
          <cell r="AE32">
            <v>0</v>
          </cell>
          <cell r="AF32">
            <v>0</v>
          </cell>
          <cell r="AG32">
            <v>0</v>
          </cell>
          <cell r="AH32">
            <v>0</v>
          </cell>
          <cell r="AI32">
            <v>18</v>
          </cell>
          <cell r="AJ32">
            <v>18</v>
          </cell>
          <cell r="AK32">
            <v>0</v>
          </cell>
          <cell r="AL32">
            <v>18</v>
          </cell>
          <cell r="AM32" t="str">
            <v xml:space="preserve">Ananda SHIAM SAHARA,  sangat jujur, disiplin, dan sudah mampu meningkatkan sikap percaya diri, </v>
          </cell>
        </row>
        <row r="33">
          <cell r="A33">
            <v>23</v>
          </cell>
          <cell r="B33" t="str">
            <v>SUSAN APRILIA PUTRI</v>
          </cell>
          <cell r="C33">
            <v>20</v>
          </cell>
          <cell r="D33">
            <v>5</v>
          </cell>
          <cell r="E33">
            <v>20</v>
          </cell>
          <cell r="F33">
            <v>5</v>
          </cell>
          <cell r="G33">
            <v>0</v>
          </cell>
          <cell r="H33">
            <v>0</v>
          </cell>
          <cell r="I33">
            <v>0</v>
          </cell>
          <cell r="J33">
            <v>0</v>
          </cell>
          <cell r="K33">
            <v>10</v>
          </cell>
          <cell r="L33">
            <v>10</v>
          </cell>
          <cell r="M33">
            <v>0</v>
          </cell>
          <cell r="N33">
            <v>10</v>
          </cell>
          <cell r="O33">
            <v>16</v>
          </cell>
          <cell r="P33">
            <v>4</v>
          </cell>
          <cell r="Q33">
            <v>16</v>
          </cell>
          <cell r="R33">
            <v>4</v>
          </cell>
          <cell r="S33">
            <v>0</v>
          </cell>
          <cell r="T33">
            <v>0</v>
          </cell>
          <cell r="U33">
            <v>0</v>
          </cell>
          <cell r="V33">
            <v>0</v>
          </cell>
          <cell r="W33">
            <v>8</v>
          </cell>
          <cell r="X33">
            <v>8</v>
          </cell>
          <cell r="Y33">
            <v>0</v>
          </cell>
          <cell r="Z33">
            <v>8</v>
          </cell>
          <cell r="AA33">
            <v>36</v>
          </cell>
          <cell r="AB33">
            <v>9</v>
          </cell>
          <cell r="AC33">
            <v>36</v>
          </cell>
          <cell r="AD33">
            <v>9</v>
          </cell>
          <cell r="AE33">
            <v>0</v>
          </cell>
          <cell r="AF33">
            <v>0</v>
          </cell>
          <cell r="AG33">
            <v>0</v>
          </cell>
          <cell r="AH33">
            <v>0</v>
          </cell>
          <cell r="AI33">
            <v>18</v>
          </cell>
          <cell r="AJ33">
            <v>18</v>
          </cell>
          <cell r="AK33">
            <v>0</v>
          </cell>
          <cell r="AL33">
            <v>18</v>
          </cell>
          <cell r="AM33" t="str">
            <v xml:space="preserve">Ananda SUSAN APRILIA PUTRI,  sangat jujur, disiplin, dan sudah mampu meningkatkan sikap percaya diri, </v>
          </cell>
        </row>
        <row r="34">
          <cell r="A34">
            <v>24</v>
          </cell>
          <cell r="B34" t="str">
            <v>SYIFAUL CHUSNA BANATU ROHMI HADI</v>
          </cell>
          <cell r="C34">
            <v>20</v>
          </cell>
          <cell r="D34">
            <v>5</v>
          </cell>
          <cell r="E34">
            <v>20</v>
          </cell>
          <cell r="F34">
            <v>5</v>
          </cell>
          <cell r="G34">
            <v>0</v>
          </cell>
          <cell r="H34">
            <v>0</v>
          </cell>
          <cell r="I34">
            <v>0</v>
          </cell>
          <cell r="J34">
            <v>0</v>
          </cell>
          <cell r="K34">
            <v>10</v>
          </cell>
          <cell r="L34">
            <v>10</v>
          </cell>
          <cell r="M34">
            <v>0</v>
          </cell>
          <cell r="N34">
            <v>10</v>
          </cell>
          <cell r="O34">
            <v>16</v>
          </cell>
          <cell r="P34">
            <v>4</v>
          </cell>
          <cell r="Q34">
            <v>16</v>
          </cell>
          <cell r="R34">
            <v>4</v>
          </cell>
          <cell r="S34">
            <v>0</v>
          </cell>
          <cell r="T34">
            <v>0</v>
          </cell>
          <cell r="U34">
            <v>0</v>
          </cell>
          <cell r="V34">
            <v>0</v>
          </cell>
          <cell r="W34">
            <v>8</v>
          </cell>
          <cell r="X34">
            <v>8</v>
          </cell>
          <cell r="Y34">
            <v>0</v>
          </cell>
          <cell r="Z34">
            <v>8</v>
          </cell>
          <cell r="AA34">
            <v>36</v>
          </cell>
          <cell r="AB34">
            <v>9</v>
          </cell>
          <cell r="AC34">
            <v>36</v>
          </cell>
          <cell r="AD34">
            <v>9</v>
          </cell>
          <cell r="AE34">
            <v>0</v>
          </cell>
          <cell r="AF34">
            <v>0</v>
          </cell>
          <cell r="AG34">
            <v>0</v>
          </cell>
          <cell r="AH34">
            <v>0</v>
          </cell>
          <cell r="AI34">
            <v>18</v>
          </cell>
          <cell r="AJ34">
            <v>18</v>
          </cell>
          <cell r="AK34">
            <v>0</v>
          </cell>
          <cell r="AL34">
            <v>18</v>
          </cell>
          <cell r="AM34" t="str">
            <v xml:space="preserve">Ananda SYIFAUL CHUSNA BANATU ROHMI HADI,  sangat jujur, disiplin, dan sudah mampu meningkatkan sikap percaya diri, </v>
          </cell>
        </row>
        <row r="35">
          <cell r="A35">
            <v>25</v>
          </cell>
          <cell r="B35" t="str">
            <v>VANESSA VICKY AYU LESTARI</v>
          </cell>
          <cell r="C35">
            <v>20</v>
          </cell>
          <cell r="D35">
            <v>5</v>
          </cell>
          <cell r="E35">
            <v>20</v>
          </cell>
          <cell r="F35">
            <v>5</v>
          </cell>
          <cell r="G35">
            <v>0</v>
          </cell>
          <cell r="H35">
            <v>0</v>
          </cell>
          <cell r="I35">
            <v>0</v>
          </cell>
          <cell r="J35">
            <v>0</v>
          </cell>
          <cell r="K35">
            <v>10</v>
          </cell>
          <cell r="L35">
            <v>10</v>
          </cell>
          <cell r="M35">
            <v>0</v>
          </cell>
          <cell r="N35">
            <v>10</v>
          </cell>
          <cell r="O35">
            <v>16</v>
          </cell>
          <cell r="P35">
            <v>4</v>
          </cell>
          <cell r="Q35">
            <v>16</v>
          </cell>
          <cell r="R35">
            <v>4</v>
          </cell>
          <cell r="S35">
            <v>0</v>
          </cell>
          <cell r="T35">
            <v>0</v>
          </cell>
          <cell r="U35">
            <v>0</v>
          </cell>
          <cell r="V35">
            <v>0</v>
          </cell>
          <cell r="W35">
            <v>8</v>
          </cell>
          <cell r="X35">
            <v>8</v>
          </cell>
          <cell r="Y35">
            <v>0</v>
          </cell>
          <cell r="Z35">
            <v>8</v>
          </cell>
          <cell r="AA35">
            <v>36</v>
          </cell>
          <cell r="AB35">
            <v>9</v>
          </cell>
          <cell r="AC35">
            <v>36</v>
          </cell>
          <cell r="AD35">
            <v>9</v>
          </cell>
          <cell r="AE35">
            <v>0</v>
          </cell>
          <cell r="AF35">
            <v>0</v>
          </cell>
          <cell r="AG35">
            <v>0</v>
          </cell>
          <cell r="AH35">
            <v>0</v>
          </cell>
          <cell r="AI35">
            <v>18</v>
          </cell>
          <cell r="AJ35">
            <v>18</v>
          </cell>
          <cell r="AK35">
            <v>0</v>
          </cell>
          <cell r="AL35">
            <v>18</v>
          </cell>
          <cell r="AM35" t="str">
            <v xml:space="preserve">Ananda VANESSA VICKY AYU LESTARI,  sangat jujur, disiplin, dan sudah mampu meningkatkan sikap percaya diri, </v>
          </cell>
        </row>
        <row r="36">
          <cell r="A36">
            <v>26</v>
          </cell>
          <cell r="B36" t="str">
            <v>WIBI NUR FIRMANSYAH</v>
          </cell>
          <cell r="C36">
            <v>20</v>
          </cell>
          <cell r="D36">
            <v>5</v>
          </cell>
          <cell r="E36">
            <v>20</v>
          </cell>
          <cell r="F36">
            <v>5</v>
          </cell>
          <cell r="G36">
            <v>0</v>
          </cell>
          <cell r="H36">
            <v>0</v>
          </cell>
          <cell r="I36">
            <v>0</v>
          </cell>
          <cell r="J36">
            <v>0</v>
          </cell>
          <cell r="K36">
            <v>10</v>
          </cell>
          <cell r="L36">
            <v>10</v>
          </cell>
          <cell r="M36">
            <v>0</v>
          </cell>
          <cell r="N36">
            <v>10</v>
          </cell>
          <cell r="O36">
            <v>16</v>
          </cell>
          <cell r="P36">
            <v>4</v>
          </cell>
          <cell r="Q36">
            <v>16</v>
          </cell>
          <cell r="R36">
            <v>4</v>
          </cell>
          <cell r="S36">
            <v>0</v>
          </cell>
          <cell r="T36">
            <v>0</v>
          </cell>
          <cell r="U36">
            <v>0</v>
          </cell>
          <cell r="V36">
            <v>0</v>
          </cell>
          <cell r="W36">
            <v>8</v>
          </cell>
          <cell r="X36">
            <v>8</v>
          </cell>
          <cell r="Y36">
            <v>0</v>
          </cell>
          <cell r="Z36">
            <v>8</v>
          </cell>
          <cell r="AA36">
            <v>36</v>
          </cell>
          <cell r="AB36">
            <v>9</v>
          </cell>
          <cell r="AC36">
            <v>36</v>
          </cell>
          <cell r="AD36">
            <v>9</v>
          </cell>
          <cell r="AE36">
            <v>0</v>
          </cell>
          <cell r="AF36">
            <v>0</v>
          </cell>
          <cell r="AG36">
            <v>0</v>
          </cell>
          <cell r="AH36">
            <v>0</v>
          </cell>
          <cell r="AI36">
            <v>18</v>
          </cell>
          <cell r="AJ36">
            <v>18</v>
          </cell>
          <cell r="AK36">
            <v>0</v>
          </cell>
          <cell r="AL36">
            <v>18</v>
          </cell>
          <cell r="AM36" t="str">
            <v xml:space="preserve">Ananda WIBI NUR FIRMANSYAH,  sangat jujur, disiplin, dan sudah mampu meningkatkan sikap percaya diri, </v>
          </cell>
        </row>
        <row r="37">
          <cell r="A37">
            <v>27</v>
          </cell>
          <cell r="B37" t="str">
            <v>ZULFIDA NURUL MAZIDAH</v>
          </cell>
          <cell r="C37">
            <v>20</v>
          </cell>
          <cell r="D37">
            <v>5</v>
          </cell>
          <cell r="E37">
            <v>20</v>
          </cell>
          <cell r="F37">
            <v>5</v>
          </cell>
          <cell r="G37">
            <v>0</v>
          </cell>
          <cell r="H37">
            <v>0</v>
          </cell>
          <cell r="I37">
            <v>0</v>
          </cell>
          <cell r="J37">
            <v>0</v>
          </cell>
          <cell r="K37">
            <v>10</v>
          </cell>
          <cell r="L37">
            <v>10</v>
          </cell>
          <cell r="M37">
            <v>0</v>
          </cell>
          <cell r="N37">
            <v>10</v>
          </cell>
          <cell r="O37">
            <v>16</v>
          </cell>
          <cell r="P37">
            <v>4</v>
          </cell>
          <cell r="Q37">
            <v>16</v>
          </cell>
          <cell r="R37">
            <v>4</v>
          </cell>
          <cell r="S37">
            <v>0</v>
          </cell>
          <cell r="T37">
            <v>0</v>
          </cell>
          <cell r="U37">
            <v>0</v>
          </cell>
          <cell r="V37">
            <v>0</v>
          </cell>
          <cell r="W37">
            <v>8</v>
          </cell>
          <cell r="X37">
            <v>8</v>
          </cell>
          <cell r="Y37">
            <v>0</v>
          </cell>
          <cell r="Z37">
            <v>8</v>
          </cell>
          <cell r="AA37">
            <v>36</v>
          </cell>
          <cell r="AB37">
            <v>9</v>
          </cell>
          <cell r="AC37">
            <v>36</v>
          </cell>
          <cell r="AD37">
            <v>9</v>
          </cell>
          <cell r="AE37">
            <v>0</v>
          </cell>
          <cell r="AF37">
            <v>0</v>
          </cell>
          <cell r="AG37">
            <v>0</v>
          </cell>
          <cell r="AH37">
            <v>0</v>
          </cell>
          <cell r="AI37">
            <v>18</v>
          </cell>
          <cell r="AJ37">
            <v>18</v>
          </cell>
          <cell r="AK37">
            <v>0</v>
          </cell>
          <cell r="AL37">
            <v>18</v>
          </cell>
          <cell r="AM37" t="str">
            <v xml:space="preserve">Ananda ZULFIDA NURUL MAZIDAH,  sangat jujur, disiplin, dan sudah mampu meningkatkan sikap percaya diri, </v>
          </cell>
        </row>
        <row r="38">
          <cell r="A38">
            <v>28</v>
          </cell>
          <cell r="B38" t="str">
            <v>AZKA AFINA KHOIRUL IZA</v>
          </cell>
          <cell r="C38">
            <v>20</v>
          </cell>
          <cell r="D38">
            <v>5</v>
          </cell>
          <cell r="E38">
            <v>20</v>
          </cell>
          <cell r="F38">
            <v>5</v>
          </cell>
          <cell r="G38">
            <v>0</v>
          </cell>
          <cell r="H38">
            <v>0</v>
          </cell>
          <cell r="I38">
            <v>0</v>
          </cell>
          <cell r="J38">
            <v>0</v>
          </cell>
          <cell r="K38">
            <v>10</v>
          </cell>
          <cell r="L38">
            <v>10</v>
          </cell>
          <cell r="M38">
            <v>0</v>
          </cell>
          <cell r="N38">
            <v>10</v>
          </cell>
          <cell r="O38">
            <v>16</v>
          </cell>
          <cell r="P38">
            <v>4</v>
          </cell>
          <cell r="Q38">
            <v>16</v>
          </cell>
          <cell r="R38">
            <v>4</v>
          </cell>
          <cell r="S38">
            <v>0</v>
          </cell>
          <cell r="T38">
            <v>0</v>
          </cell>
          <cell r="U38">
            <v>0</v>
          </cell>
          <cell r="V38">
            <v>0</v>
          </cell>
          <cell r="W38">
            <v>8</v>
          </cell>
          <cell r="X38">
            <v>8</v>
          </cell>
          <cell r="Y38">
            <v>0</v>
          </cell>
          <cell r="Z38">
            <v>8</v>
          </cell>
          <cell r="AA38">
            <v>36</v>
          </cell>
          <cell r="AB38">
            <v>9</v>
          </cell>
          <cell r="AC38">
            <v>36</v>
          </cell>
          <cell r="AD38">
            <v>9</v>
          </cell>
          <cell r="AE38">
            <v>0</v>
          </cell>
          <cell r="AF38">
            <v>0</v>
          </cell>
          <cell r="AG38">
            <v>0</v>
          </cell>
          <cell r="AH38">
            <v>0</v>
          </cell>
          <cell r="AI38">
            <v>18</v>
          </cell>
          <cell r="AJ38">
            <v>18</v>
          </cell>
          <cell r="AK38">
            <v>0</v>
          </cell>
          <cell r="AL38">
            <v>18</v>
          </cell>
          <cell r="AM38" t="str">
            <v xml:space="preserve">Ananda AZKA AFINA KHOIRUL IZA,  sangat jujur, disiplin, dan sudah mampu meningkatkan sikap percaya diri, </v>
          </cell>
        </row>
        <row r="39">
          <cell r="A39">
            <v>29</v>
          </cell>
          <cell r="B39" t="str">
            <v>BAGUS WIDA KANAKA</v>
          </cell>
          <cell r="C39">
            <v>20</v>
          </cell>
          <cell r="D39">
            <v>5</v>
          </cell>
          <cell r="E39">
            <v>20</v>
          </cell>
          <cell r="F39">
            <v>5</v>
          </cell>
          <cell r="G39">
            <v>0</v>
          </cell>
          <cell r="H39">
            <v>0</v>
          </cell>
          <cell r="I39">
            <v>0</v>
          </cell>
          <cell r="J39">
            <v>0</v>
          </cell>
          <cell r="K39">
            <v>10</v>
          </cell>
          <cell r="L39">
            <v>10</v>
          </cell>
          <cell r="M39">
            <v>0</v>
          </cell>
          <cell r="N39">
            <v>10</v>
          </cell>
          <cell r="O39">
            <v>16</v>
          </cell>
          <cell r="P39">
            <v>4</v>
          </cell>
          <cell r="Q39">
            <v>16</v>
          </cell>
          <cell r="R39">
            <v>4</v>
          </cell>
          <cell r="S39">
            <v>0</v>
          </cell>
          <cell r="T39">
            <v>0</v>
          </cell>
          <cell r="U39">
            <v>0</v>
          </cell>
          <cell r="V39">
            <v>0</v>
          </cell>
          <cell r="W39">
            <v>8</v>
          </cell>
          <cell r="X39">
            <v>8</v>
          </cell>
          <cell r="Y39">
            <v>0</v>
          </cell>
          <cell r="Z39">
            <v>8</v>
          </cell>
          <cell r="AA39">
            <v>36</v>
          </cell>
          <cell r="AB39">
            <v>9</v>
          </cell>
          <cell r="AC39">
            <v>36</v>
          </cell>
          <cell r="AD39">
            <v>9</v>
          </cell>
          <cell r="AE39">
            <v>0</v>
          </cell>
          <cell r="AF39">
            <v>0</v>
          </cell>
          <cell r="AG39">
            <v>0</v>
          </cell>
          <cell r="AH39">
            <v>0</v>
          </cell>
          <cell r="AI39">
            <v>18</v>
          </cell>
          <cell r="AJ39">
            <v>18</v>
          </cell>
          <cell r="AK39">
            <v>0</v>
          </cell>
          <cell r="AL39">
            <v>18</v>
          </cell>
          <cell r="AM39" t="str">
            <v xml:space="preserve">Ananda BAGUS WIDA KANAKA,  sangat jujur, disiplin, dan sudah mampu meningkatkan sikap percaya diri, </v>
          </cell>
        </row>
        <row r="40">
          <cell r="A40">
            <v>30</v>
          </cell>
          <cell r="B40" t="str">
            <v>DENI FIRYA ATHALLAH PRADINAYA</v>
          </cell>
          <cell r="C40">
            <v>20</v>
          </cell>
          <cell r="D40">
            <v>5</v>
          </cell>
          <cell r="E40">
            <v>20</v>
          </cell>
          <cell r="F40">
            <v>5</v>
          </cell>
          <cell r="G40">
            <v>0</v>
          </cell>
          <cell r="H40">
            <v>0</v>
          </cell>
          <cell r="I40">
            <v>0</v>
          </cell>
          <cell r="J40">
            <v>0</v>
          </cell>
          <cell r="K40">
            <v>10</v>
          </cell>
          <cell r="L40">
            <v>10</v>
          </cell>
          <cell r="M40">
            <v>0</v>
          </cell>
          <cell r="N40">
            <v>10</v>
          </cell>
          <cell r="O40">
            <v>16</v>
          </cell>
          <cell r="P40">
            <v>4</v>
          </cell>
          <cell r="Q40">
            <v>16</v>
          </cell>
          <cell r="R40">
            <v>4</v>
          </cell>
          <cell r="S40">
            <v>0</v>
          </cell>
          <cell r="T40">
            <v>0</v>
          </cell>
          <cell r="U40">
            <v>0</v>
          </cell>
          <cell r="V40">
            <v>0</v>
          </cell>
          <cell r="W40">
            <v>8</v>
          </cell>
          <cell r="X40">
            <v>8</v>
          </cell>
          <cell r="Y40">
            <v>0</v>
          </cell>
          <cell r="Z40">
            <v>8</v>
          </cell>
          <cell r="AA40">
            <v>36</v>
          </cell>
          <cell r="AB40">
            <v>9</v>
          </cell>
          <cell r="AC40">
            <v>36</v>
          </cell>
          <cell r="AD40">
            <v>9</v>
          </cell>
          <cell r="AE40">
            <v>0</v>
          </cell>
          <cell r="AF40">
            <v>0</v>
          </cell>
          <cell r="AG40">
            <v>0</v>
          </cell>
          <cell r="AH40">
            <v>0</v>
          </cell>
          <cell r="AI40">
            <v>18</v>
          </cell>
          <cell r="AJ40">
            <v>18</v>
          </cell>
          <cell r="AK40">
            <v>0</v>
          </cell>
          <cell r="AL40">
            <v>18</v>
          </cell>
          <cell r="AM40" t="str">
            <v xml:space="preserve">Ananda DENI FIRYA ATHALLAH PRADINAYA,  sangat jujur, disiplin, dan sudah mampu meningkatkan sikap percaya diri, </v>
          </cell>
        </row>
        <row r="41">
          <cell r="A41">
            <v>31</v>
          </cell>
          <cell r="B41" t="str">
            <v>DEWI GALUH MULANSARI</v>
          </cell>
          <cell r="C41">
            <v>20</v>
          </cell>
          <cell r="D41">
            <v>5</v>
          </cell>
          <cell r="E41">
            <v>20</v>
          </cell>
          <cell r="F41">
            <v>5</v>
          </cell>
          <cell r="G41">
            <v>0</v>
          </cell>
          <cell r="H41">
            <v>0</v>
          </cell>
          <cell r="I41">
            <v>0</v>
          </cell>
          <cell r="J41">
            <v>0</v>
          </cell>
          <cell r="K41">
            <v>10</v>
          </cell>
          <cell r="L41">
            <v>10</v>
          </cell>
          <cell r="M41">
            <v>0</v>
          </cell>
          <cell r="N41">
            <v>10</v>
          </cell>
          <cell r="O41">
            <v>16</v>
          </cell>
          <cell r="P41">
            <v>4</v>
          </cell>
          <cell r="Q41">
            <v>16</v>
          </cell>
          <cell r="R41">
            <v>4</v>
          </cell>
          <cell r="S41">
            <v>0</v>
          </cell>
          <cell r="T41">
            <v>0</v>
          </cell>
          <cell r="U41">
            <v>0</v>
          </cell>
          <cell r="V41">
            <v>0</v>
          </cell>
          <cell r="W41">
            <v>8</v>
          </cell>
          <cell r="X41">
            <v>8</v>
          </cell>
          <cell r="Y41">
            <v>0</v>
          </cell>
          <cell r="Z41">
            <v>8</v>
          </cell>
          <cell r="AA41">
            <v>36</v>
          </cell>
          <cell r="AB41">
            <v>9</v>
          </cell>
          <cell r="AC41">
            <v>36</v>
          </cell>
          <cell r="AD41">
            <v>9</v>
          </cell>
          <cell r="AE41">
            <v>0</v>
          </cell>
          <cell r="AF41">
            <v>0</v>
          </cell>
          <cell r="AG41">
            <v>0</v>
          </cell>
          <cell r="AH41">
            <v>0</v>
          </cell>
          <cell r="AI41">
            <v>18</v>
          </cell>
          <cell r="AJ41">
            <v>18</v>
          </cell>
          <cell r="AK41">
            <v>0</v>
          </cell>
          <cell r="AL41">
            <v>18</v>
          </cell>
          <cell r="AM41" t="str">
            <v xml:space="preserve">Ananda DEWI GALUH MULANSARI,  sangat jujur, disiplin, dan sudah mampu meningkatkan sikap percaya diri, </v>
          </cell>
        </row>
        <row r="42">
          <cell r="A42">
            <v>32</v>
          </cell>
          <cell r="B42" t="str">
            <v>DIAN PUJI LESTARI</v>
          </cell>
          <cell r="C42">
            <v>20</v>
          </cell>
          <cell r="D42">
            <v>5</v>
          </cell>
          <cell r="E42">
            <v>20</v>
          </cell>
          <cell r="F42">
            <v>5</v>
          </cell>
          <cell r="G42">
            <v>0</v>
          </cell>
          <cell r="H42">
            <v>0</v>
          </cell>
          <cell r="I42">
            <v>0</v>
          </cell>
          <cell r="J42">
            <v>0</v>
          </cell>
          <cell r="K42">
            <v>10</v>
          </cell>
          <cell r="L42">
            <v>10</v>
          </cell>
          <cell r="M42">
            <v>0</v>
          </cell>
          <cell r="N42">
            <v>10</v>
          </cell>
          <cell r="O42">
            <v>16</v>
          </cell>
          <cell r="P42">
            <v>4</v>
          </cell>
          <cell r="Q42">
            <v>16</v>
          </cell>
          <cell r="R42">
            <v>4</v>
          </cell>
          <cell r="S42">
            <v>0</v>
          </cell>
          <cell r="T42">
            <v>0</v>
          </cell>
          <cell r="U42">
            <v>0</v>
          </cell>
          <cell r="V42">
            <v>0</v>
          </cell>
          <cell r="W42">
            <v>8</v>
          </cell>
          <cell r="X42">
            <v>8</v>
          </cell>
          <cell r="Y42">
            <v>0</v>
          </cell>
          <cell r="Z42">
            <v>8</v>
          </cell>
          <cell r="AA42">
            <v>36</v>
          </cell>
          <cell r="AB42">
            <v>9</v>
          </cell>
          <cell r="AC42">
            <v>36</v>
          </cell>
          <cell r="AD42">
            <v>9</v>
          </cell>
          <cell r="AE42">
            <v>0</v>
          </cell>
          <cell r="AF42">
            <v>0</v>
          </cell>
          <cell r="AG42">
            <v>0</v>
          </cell>
          <cell r="AH42">
            <v>0</v>
          </cell>
          <cell r="AI42">
            <v>18</v>
          </cell>
          <cell r="AJ42">
            <v>18</v>
          </cell>
          <cell r="AK42">
            <v>0</v>
          </cell>
          <cell r="AL42">
            <v>18</v>
          </cell>
          <cell r="AM42" t="str">
            <v xml:space="preserve">Ananda DIAN PUJI LESTARI,  sangat jujur, disiplin, dan sudah mampu meningkatkan sikap percaya diri, </v>
          </cell>
        </row>
        <row r="43">
          <cell r="A43">
            <v>33</v>
          </cell>
          <cell r="B43" t="str">
            <v>Hafidz Langgeng Prasetyo</v>
          </cell>
          <cell r="C43">
            <v>20</v>
          </cell>
          <cell r="D43">
            <v>5</v>
          </cell>
          <cell r="E43">
            <v>20</v>
          </cell>
          <cell r="F43">
            <v>5</v>
          </cell>
          <cell r="G43">
            <v>0</v>
          </cell>
          <cell r="H43">
            <v>0</v>
          </cell>
          <cell r="I43">
            <v>0</v>
          </cell>
          <cell r="J43">
            <v>0</v>
          </cell>
          <cell r="K43">
            <v>10</v>
          </cell>
          <cell r="L43">
            <v>10</v>
          </cell>
          <cell r="M43">
            <v>0</v>
          </cell>
          <cell r="N43">
            <v>10</v>
          </cell>
          <cell r="O43">
            <v>16</v>
          </cell>
          <cell r="P43">
            <v>4</v>
          </cell>
          <cell r="Q43">
            <v>16</v>
          </cell>
          <cell r="R43">
            <v>4</v>
          </cell>
          <cell r="S43">
            <v>0</v>
          </cell>
          <cell r="T43">
            <v>0</v>
          </cell>
          <cell r="U43">
            <v>0</v>
          </cell>
          <cell r="V43">
            <v>0</v>
          </cell>
          <cell r="W43">
            <v>8</v>
          </cell>
          <cell r="X43">
            <v>8</v>
          </cell>
          <cell r="Y43">
            <v>0</v>
          </cell>
          <cell r="Z43">
            <v>8</v>
          </cell>
          <cell r="AA43">
            <v>36</v>
          </cell>
          <cell r="AB43">
            <v>9</v>
          </cell>
          <cell r="AC43">
            <v>36</v>
          </cell>
          <cell r="AD43">
            <v>9</v>
          </cell>
          <cell r="AE43">
            <v>0</v>
          </cell>
          <cell r="AF43">
            <v>0</v>
          </cell>
          <cell r="AG43">
            <v>0</v>
          </cell>
          <cell r="AH43">
            <v>0</v>
          </cell>
          <cell r="AI43">
            <v>18</v>
          </cell>
          <cell r="AJ43">
            <v>18</v>
          </cell>
          <cell r="AK43">
            <v>0</v>
          </cell>
          <cell r="AL43">
            <v>18</v>
          </cell>
          <cell r="AM43" t="str">
            <v xml:space="preserve">Ananda Hafidz Langgeng Prasetyo,  sangat jujur, disiplin, dan sudah mampu meningkatkan sikap percaya diri, </v>
          </cell>
        </row>
        <row r="44">
          <cell r="A44">
            <v>34</v>
          </cell>
          <cell r="B44" t="str">
            <v>JALU ARTHA AJI MANGGALA HANDOKO</v>
          </cell>
          <cell r="C44">
            <v>20</v>
          </cell>
          <cell r="D44">
            <v>5</v>
          </cell>
          <cell r="E44">
            <v>20</v>
          </cell>
          <cell r="F44">
            <v>5</v>
          </cell>
          <cell r="G44">
            <v>0</v>
          </cell>
          <cell r="H44">
            <v>0</v>
          </cell>
          <cell r="I44">
            <v>0</v>
          </cell>
          <cell r="J44">
            <v>0</v>
          </cell>
          <cell r="K44">
            <v>10</v>
          </cell>
          <cell r="L44">
            <v>10</v>
          </cell>
          <cell r="M44">
            <v>0</v>
          </cell>
          <cell r="N44">
            <v>10</v>
          </cell>
          <cell r="O44">
            <v>16</v>
          </cell>
          <cell r="P44">
            <v>4</v>
          </cell>
          <cell r="Q44">
            <v>16</v>
          </cell>
          <cell r="R44">
            <v>4</v>
          </cell>
          <cell r="S44">
            <v>0</v>
          </cell>
          <cell r="T44">
            <v>0</v>
          </cell>
          <cell r="U44">
            <v>0</v>
          </cell>
          <cell r="V44">
            <v>0</v>
          </cell>
          <cell r="W44">
            <v>8</v>
          </cell>
          <cell r="X44">
            <v>8</v>
          </cell>
          <cell r="Y44">
            <v>0</v>
          </cell>
          <cell r="Z44">
            <v>8</v>
          </cell>
          <cell r="AA44">
            <v>36</v>
          </cell>
          <cell r="AB44">
            <v>9</v>
          </cell>
          <cell r="AC44">
            <v>36</v>
          </cell>
          <cell r="AD44">
            <v>9</v>
          </cell>
          <cell r="AE44">
            <v>0</v>
          </cell>
          <cell r="AF44">
            <v>0</v>
          </cell>
          <cell r="AG44">
            <v>0</v>
          </cell>
          <cell r="AH44">
            <v>0</v>
          </cell>
          <cell r="AI44">
            <v>18</v>
          </cell>
          <cell r="AJ44">
            <v>18</v>
          </cell>
          <cell r="AK44">
            <v>0</v>
          </cell>
          <cell r="AL44">
            <v>18</v>
          </cell>
          <cell r="AM44" t="str">
            <v xml:space="preserve">Ananda JALU ARTHA AJI MANGGALA HANDOKO,  sangat jujur, disiplin, dan sudah mampu meningkatkan sikap percaya diri, </v>
          </cell>
        </row>
        <row r="45">
          <cell r="A45">
            <v>35</v>
          </cell>
          <cell r="B45" t="str">
            <v>LAURENDHO RADIEFCA MURDIONO</v>
          </cell>
          <cell r="C45">
            <v>20</v>
          </cell>
          <cell r="D45">
            <v>5</v>
          </cell>
          <cell r="E45">
            <v>20</v>
          </cell>
          <cell r="F45">
            <v>5</v>
          </cell>
          <cell r="G45">
            <v>0</v>
          </cell>
          <cell r="H45">
            <v>0</v>
          </cell>
          <cell r="I45">
            <v>0</v>
          </cell>
          <cell r="J45">
            <v>0</v>
          </cell>
          <cell r="K45">
            <v>10</v>
          </cell>
          <cell r="L45">
            <v>10</v>
          </cell>
          <cell r="M45">
            <v>0</v>
          </cell>
          <cell r="N45">
            <v>10</v>
          </cell>
          <cell r="O45">
            <v>16</v>
          </cell>
          <cell r="P45">
            <v>4</v>
          </cell>
          <cell r="Q45">
            <v>16</v>
          </cell>
          <cell r="R45">
            <v>4</v>
          </cell>
          <cell r="S45">
            <v>0</v>
          </cell>
          <cell r="T45">
            <v>0</v>
          </cell>
          <cell r="U45">
            <v>0</v>
          </cell>
          <cell r="V45">
            <v>0</v>
          </cell>
          <cell r="W45">
            <v>8</v>
          </cell>
          <cell r="X45">
            <v>8</v>
          </cell>
          <cell r="Y45">
            <v>0</v>
          </cell>
          <cell r="Z45">
            <v>8</v>
          </cell>
          <cell r="AA45">
            <v>36</v>
          </cell>
          <cell r="AB45">
            <v>9</v>
          </cell>
          <cell r="AC45">
            <v>36</v>
          </cell>
          <cell r="AD45">
            <v>9</v>
          </cell>
          <cell r="AE45">
            <v>0</v>
          </cell>
          <cell r="AF45">
            <v>0</v>
          </cell>
          <cell r="AG45">
            <v>0</v>
          </cell>
          <cell r="AH45">
            <v>0</v>
          </cell>
          <cell r="AI45">
            <v>18</v>
          </cell>
          <cell r="AJ45">
            <v>18</v>
          </cell>
          <cell r="AK45">
            <v>0</v>
          </cell>
          <cell r="AL45">
            <v>18</v>
          </cell>
          <cell r="AM45" t="str">
            <v xml:space="preserve">Ananda LAURENDHO RADIEFCA MURDIONO,  sangat jujur, disiplin, dan sudah mampu meningkatkan sikap percaya diri, </v>
          </cell>
        </row>
        <row r="46">
          <cell r="A46">
            <v>36</v>
          </cell>
          <cell r="B46" t="str">
            <v>MARSYA MAYDINA DWI RISQITA</v>
          </cell>
          <cell r="C46">
            <v>20</v>
          </cell>
          <cell r="D46">
            <v>5</v>
          </cell>
          <cell r="E46">
            <v>20</v>
          </cell>
          <cell r="F46">
            <v>5</v>
          </cell>
          <cell r="G46">
            <v>0</v>
          </cell>
          <cell r="H46">
            <v>0</v>
          </cell>
          <cell r="I46">
            <v>0</v>
          </cell>
          <cell r="J46">
            <v>0</v>
          </cell>
          <cell r="K46">
            <v>10</v>
          </cell>
          <cell r="L46">
            <v>10</v>
          </cell>
          <cell r="M46">
            <v>0</v>
          </cell>
          <cell r="N46">
            <v>10</v>
          </cell>
          <cell r="O46">
            <v>16</v>
          </cell>
          <cell r="P46">
            <v>4</v>
          </cell>
          <cell r="Q46">
            <v>16</v>
          </cell>
          <cell r="R46">
            <v>4</v>
          </cell>
          <cell r="S46">
            <v>0</v>
          </cell>
          <cell r="T46">
            <v>0</v>
          </cell>
          <cell r="U46">
            <v>0</v>
          </cell>
          <cell r="V46">
            <v>0</v>
          </cell>
          <cell r="W46">
            <v>8</v>
          </cell>
          <cell r="X46">
            <v>8</v>
          </cell>
          <cell r="Y46">
            <v>0</v>
          </cell>
          <cell r="Z46">
            <v>8</v>
          </cell>
          <cell r="AA46">
            <v>36</v>
          </cell>
          <cell r="AB46">
            <v>9</v>
          </cell>
          <cell r="AC46">
            <v>36</v>
          </cell>
          <cell r="AD46">
            <v>9</v>
          </cell>
          <cell r="AE46">
            <v>0</v>
          </cell>
          <cell r="AF46">
            <v>0</v>
          </cell>
          <cell r="AG46">
            <v>0</v>
          </cell>
          <cell r="AH46">
            <v>0</v>
          </cell>
          <cell r="AI46">
            <v>18</v>
          </cell>
          <cell r="AJ46">
            <v>18</v>
          </cell>
          <cell r="AK46">
            <v>0</v>
          </cell>
          <cell r="AL46">
            <v>18</v>
          </cell>
          <cell r="AM46" t="str">
            <v xml:space="preserve">Ananda MARSYA MAYDINA DWI RISQITA,  sangat jujur, disiplin, dan sudah mampu meningkatkan sikap percaya diri, </v>
          </cell>
        </row>
        <row r="47">
          <cell r="A47">
            <v>37</v>
          </cell>
          <cell r="B47" t="str">
            <v>MILA SARASWATI</v>
          </cell>
          <cell r="C47">
            <v>20</v>
          </cell>
          <cell r="D47">
            <v>5</v>
          </cell>
          <cell r="E47">
            <v>20</v>
          </cell>
          <cell r="F47">
            <v>5</v>
          </cell>
          <cell r="G47">
            <v>0</v>
          </cell>
          <cell r="H47">
            <v>0</v>
          </cell>
          <cell r="I47">
            <v>0</v>
          </cell>
          <cell r="J47">
            <v>0</v>
          </cell>
          <cell r="K47">
            <v>10</v>
          </cell>
          <cell r="L47">
            <v>10</v>
          </cell>
          <cell r="M47">
            <v>0</v>
          </cell>
          <cell r="N47">
            <v>10</v>
          </cell>
          <cell r="O47">
            <v>16</v>
          </cell>
          <cell r="P47">
            <v>4</v>
          </cell>
          <cell r="Q47">
            <v>16</v>
          </cell>
          <cell r="R47">
            <v>4</v>
          </cell>
          <cell r="S47">
            <v>0</v>
          </cell>
          <cell r="T47">
            <v>0</v>
          </cell>
          <cell r="U47">
            <v>0</v>
          </cell>
          <cell r="V47">
            <v>0</v>
          </cell>
          <cell r="W47">
            <v>8</v>
          </cell>
          <cell r="X47">
            <v>8</v>
          </cell>
          <cell r="Y47">
            <v>0</v>
          </cell>
          <cell r="Z47">
            <v>8</v>
          </cell>
          <cell r="AA47">
            <v>36</v>
          </cell>
          <cell r="AB47">
            <v>9</v>
          </cell>
          <cell r="AC47">
            <v>36</v>
          </cell>
          <cell r="AD47">
            <v>9</v>
          </cell>
          <cell r="AE47">
            <v>0</v>
          </cell>
          <cell r="AF47">
            <v>0</v>
          </cell>
          <cell r="AG47">
            <v>0</v>
          </cell>
          <cell r="AH47">
            <v>0</v>
          </cell>
          <cell r="AI47">
            <v>18</v>
          </cell>
          <cell r="AJ47">
            <v>18</v>
          </cell>
          <cell r="AK47">
            <v>0</v>
          </cell>
          <cell r="AL47">
            <v>18</v>
          </cell>
          <cell r="AM47" t="str">
            <v xml:space="preserve">Ananda MILA SARASWATI,  sangat jujur, disiplin, dan sudah mampu meningkatkan sikap percaya diri, </v>
          </cell>
        </row>
        <row r="48">
          <cell r="A48">
            <v>38</v>
          </cell>
          <cell r="B48" t="str">
            <v>MUHAMMAD ARKAN ALLY RACHMAD</v>
          </cell>
          <cell r="C48">
            <v>20</v>
          </cell>
          <cell r="D48">
            <v>5</v>
          </cell>
          <cell r="E48">
            <v>20</v>
          </cell>
          <cell r="F48">
            <v>5</v>
          </cell>
          <cell r="G48">
            <v>0</v>
          </cell>
          <cell r="H48">
            <v>0</v>
          </cell>
          <cell r="I48">
            <v>0</v>
          </cell>
          <cell r="J48">
            <v>0</v>
          </cell>
          <cell r="K48">
            <v>10</v>
          </cell>
          <cell r="L48">
            <v>10</v>
          </cell>
          <cell r="M48">
            <v>0</v>
          </cell>
          <cell r="N48">
            <v>10</v>
          </cell>
          <cell r="O48">
            <v>16</v>
          </cell>
          <cell r="P48">
            <v>4</v>
          </cell>
          <cell r="Q48">
            <v>16</v>
          </cell>
          <cell r="R48">
            <v>4</v>
          </cell>
          <cell r="S48">
            <v>0</v>
          </cell>
          <cell r="T48">
            <v>0</v>
          </cell>
          <cell r="U48">
            <v>0</v>
          </cell>
          <cell r="V48">
            <v>0</v>
          </cell>
          <cell r="W48">
            <v>8</v>
          </cell>
          <cell r="X48">
            <v>8</v>
          </cell>
          <cell r="Y48">
            <v>0</v>
          </cell>
          <cell r="Z48">
            <v>8</v>
          </cell>
          <cell r="AA48">
            <v>36</v>
          </cell>
          <cell r="AB48">
            <v>9</v>
          </cell>
          <cell r="AC48">
            <v>36</v>
          </cell>
          <cell r="AD48">
            <v>9</v>
          </cell>
          <cell r="AE48">
            <v>0</v>
          </cell>
          <cell r="AF48">
            <v>0</v>
          </cell>
          <cell r="AG48">
            <v>0</v>
          </cell>
          <cell r="AH48">
            <v>0</v>
          </cell>
          <cell r="AI48">
            <v>18</v>
          </cell>
          <cell r="AJ48">
            <v>18</v>
          </cell>
          <cell r="AK48">
            <v>0</v>
          </cell>
          <cell r="AL48">
            <v>18</v>
          </cell>
          <cell r="AM48" t="str">
            <v xml:space="preserve">Ananda MUHAMMAD ARKAN ALLY RACHMAD,  sangat jujur, disiplin, dan sudah mampu meningkatkan sikap percaya diri, </v>
          </cell>
        </row>
        <row r="49">
          <cell r="A49">
            <v>39</v>
          </cell>
          <cell r="B49" t="str">
            <v>MUHAMMAD REVIAN ABDULLOH FAQIH</v>
          </cell>
          <cell r="C49">
            <v>20</v>
          </cell>
          <cell r="D49">
            <v>5</v>
          </cell>
          <cell r="E49">
            <v>20</v>
          </cell>
          <cell r="F49">
            <v>5</v>
          </cell>
          <cell r="G49">
            <v>0</v>
          </cell>
          <cell r="H49">
            <v>0</v>
          </cell>
          <cell r="I49">
            <v>0</v>
          </cell>
          <cell r="J49">
            <v>0</v>
          </cell>
          <cell r="K49">
            <v>10</v>
          </cell>
          <cell r="L49">
            <v>10</v>
          </cell>
          <cell r="M49">
            <v>0</v>
          </cell>
          <cell r="N49">
            <v>10</v>
          </cell>
          <cell r="O49">
            <v>16</v>
          </cell>
          <cell r="P49">
            <v>4</v>
          </cell>
          <cell r="Q49">
            <v>16</v>
          </cell>
          <cell r="R49">
            <v>4</v>
          </cell>
          <cell r="S49">
            <v>0</v>
          </cell>
          <cell r="T49">
            <v>0</v>
          </cell>
          <cell r="U49">
            <v>0</v>
          </cell>
          <cell r="V49">
            <v>0</v>
          </cell>
          <cell r="W49">
            <v>8</v>
          </cell>
          <cell r="X49">
            <v>8</v>
          </cell>
          <cell r="Y49">
            <v>0</v>
          </cell>
          <cell r="Z49">
            <v>8</v>
          </cell>
          <cell r="AA49">
            <v>36</v>
          </cell>
          <cell r="AB49">
            <v>9</v>
          </cell>
          <cell r="AC49">
            <v>36</v>
          </cell>
          <cell r="AD49">
            <v>9</v>
          </cell>
          <cell r="AE49">
            <v>0</v>
          </cell>
          <cell r="AF49">
            <v>0</v>
          </cell>
          <cell r="AG49">
            <v>0</v>
          </cell>
          <cell r="AH49">
            <v>0</v>
          </cell>
          <cell r="AI49">
            <v>18</v>
          </cell>
          <cell r="AJ49">
            <v>18</v>
          </cell>
          <cell r="AK49">
            <v>0</v>
          </cell>
          <cell r="AL49">
            <v>18</v>
          </cell>
          <cell r="AM49" t="str">
            <v xml:space="preserve">Ananda MUHAMMAD REVIAN ABDULLOH FAQIH,  sangat jujur, disiplin, dan sudah mampu meningkatkan sikap percaya diri, </v>
          </cell>
        </row>
        <row r="50">
          <cell r="A50">
            <v>40</v>
          </cell>
          <cell r="B50" t="str">
            <v>NABILA AYUNINGTIAS</v>
          </cell>
          <cell r="C50">
            <v>20</v>
          </cell>
          <cell r="D50">
            <v>5</v>
          </cell>
          <cell r="E50">
            <v>20</v>
          </cell>
          <cell r="F50">
            <v>5</v>
          </cell>
          <cell r="G50">
            <v>0</v>
          </cell>
          <cell r="H50">
            <v>0</v>
          </cell>
          <cell r="I50">
            <v>0</v>
          </cell>
          <cell r="J50">
            <v>0</v>
          </cell>
          <cell r="K50">
            <v>10</v>
          </cell>
          <cell r="L50">
            <v>10</v>
          </cell>
          <cell r="M50">
            <v>0</v>
          </cell>
          <cell r="N50">
            <v>10</v>
          </cell>
          <cell r="O50">
            <v>16</v>
          </cell>
          <cell r="P50">
            <v>4</v>
          </cell>
          <cell r="Q50">
            <v>16</v>
          </cell>
          <cell r="R50">
            <v>4</v>
          </cell>
          <cell r="S50">
            <v>0</v>
          </cell>
          <cell r="T50">
            <v>0</v>
          </cell>
          <cell r="U50">
            <v>0</v>
          </cell>
          <cell r="V50">
            <v>0</v>
          </cell>
          <cell r="W50">
            <v>8</v>
          </cell>
          <cell r="X50">
            <v>8</v>
          </cell>
          <cell r="Y50">
            <v>0</v>
          </cell>
          <cell r="Z50">
            <v>8</v>
          </cell>
          <cell r="AA50">
            <v>36</v>
          </cell>
          <cell r="AB50">
            <v>9</v>
          </cell>
          <cell r="AC50">
            <v>36</v>
          </cell>
          <cell r="AD50">
            <v>9</v>
          </cell>
          <cell r="AE50">
            <v>0</v>
          </cell>
          <cell r="AF50">
            <v>0</v>
          </cell>
          <cell r="AG50">
            <v>0</v>
          </cell>
          <cell r="AH50">
            <v>0</v>
          </cell>
          <cell r="AI50">
            <v>18</v>
          </cell>
          <cell r="AJ50">
            <v>18</v>
          </cell>
          <cell r="AK50">
            <v>0</v>
          </cell>
          <cell r="AL50">
            <v>18</v>
          </cell>
          <cell r="AM50" t="str">
            <v xml:space="preserve">Ananda NABILA AYUNINGTIAS,  sangat jujur, disiplin, dan sudah mampu meningkatkan sikap percaya diri, </v>
          </cell>
        </row>
        <row r="51">
          <cell r="A51">
            <v>41</v>
          </cell>
          <cell r="B51" t="str">
            <v>NARESWARI MASAYU PUSPANINGRUM</v>
          </cell>
          <cell r="C51">
            <v>20</v>
          </cell>
          <cell r="D51">
            <v>5</v>
          </cell>
          <cell r="E51">
            <v>20</v>
          </cell>
          <cell r="F51">
            <v>5</v>
          </cell>
          <cell r="G51">
            <v>0</v>
          </cell>
          <cell r="H51">
            <v>0</v>
          </cell>
          <cell r="I51">
            <v>0</v>
          </cell>
          <cell r="J51">
            <v>0</v>
          </cell>
          <cell r="K51">
            <v>10</v>
          </cell>
          <cell r="L51">
            <v>10</v>
          </cell>
          <cell r="M51">
            <v>0</v>
          </cell>
          <cell r="N51">
            <v>10</v>
          </cell>
          <cell r="O51">
            <v>16</v>
          </cell>
          <cell r="P51">
            <v>4</v>
          </cell>
          <cell r="Q51">
            <v>16</v>
          </cell>
          <cell r="R51">
            <v>4</v>
          </cell>
          <cell r="S51">
            <v>0</v>
          </cell>
          <cell r="T51">
            <v>0</v>
          </cell>
          <cell r="U51">
            <v>0</v>
          </cell>
          <cell r="V51">
            <v>0</v>
          </cell>
          <cell r="W51">
            <v>8</v>
          </cell>
          <cell r="X51">
            <v>8</v>
          </cell>
          <cell r="Y51">
            <v>0</v>
          </cell>
          <cell r="Z51">
            <v>8</v>
          </cell>
          <cell r="AA51">
            <v>36</v>
          </cell>
          <cell r="AB51">
            <v>9</v>
          </cell>
          <cell r="AC51">
            <v>36</v>
          </cell>
          <cell r="AD51">
            <v>9</v>
          </cell>
          <cell r="AE51">
            <v>0</v>
          </cell>
          <cell r="AF51">
            <v>0</v>
          </cell>
          <cell r="AG51">
            <v>0</v>
          </cell>
          <cell r="AH51">
            <v>0</v>
          </cell>
          <cell r="AI51">
            <v>18</v>
          </cell>
          <cell r="AJ51">
            <v>18</v>
          </cell>
          <cell r="AK51">
            <v>0</v>
          </cell>
          <cell r="AL51">
            <v>18</v>
          </cell>
          <cell r="AM51" t="str">
            <v xml:space="preserve">Ananda NARESWARI MASAYU PUSPANINGRUM,  sangat jujur, disiplin, dan sudah mampu meningkatkan sikap percaya diri, </v>
          </cell>
        </row>
        <row r="52">
          <cell r="A52">
            <v>42</v>
          </cell>
          <cell r="B52" t="str">
            <v>NOVA SASMYTA</v>
          </cell>
          <cell r="C52">
            <v>20</v>
          </cell>
          <cell r="D52">
            <v>5</v>
          </cell>
          <cell r="E52">
            <v>20</v>
          </cell>
          <cell r="F52">
            <v>5</v>
          </cell>
          <cell r="G52">
            <v>0</v>
          </cell>
          <cell r="H52">
            <v>0</v>
          </cell>
          <cell r="I52">
            <v>0</v>
          </cell>
          <cell r="J52">
            <v>0</v>
          </cell>
          <cell r="K52">
            <v>10</v>
          </cell>
          <cell r="L52">
            <v>10</v>
          </cell>
          <cell r="M52">
            <v>0</v>
          </cell>
          <cell r="N52">
            <v>10</v>
          </cell>
          <cell r="O52">
            <v>16</v>
          </cell>
          <cell r="P52">
            <v>4</v>
          </cell>
          <cell r="Q52">
            <v>16</v>
          </cell>
          <cell r="R52">
            <v>4</v>
          </cell>
          <cell r="S52">
            <v>0</v>
          </cell>
          <cell r="T52">
            <v>0</v>
          </cell>
          <cell r="U52">
            <v>0</v>
          </cell>
          <cell r="V52">
            <v>0</v>
          </cell>
          <cell r="W52">
            <v>8</v>
          </cell>
          <cell r="X52">
            <v>8</v>
          </cell>
          <cell r="Y52">
            <v>0</v>
          </cell>
          <cell r="Z52">
            <v>8</v>
          </cell>
          <cell r="AA52">
            <v>36</v>
          </cell>
          <cell r="AB52">
            <v>9</v>
          </cell>
          <cell r="AC52">
            <v>36</v>
          </cell>
          <cell r="AD52">
            <v>9</v>
          </cell>
          <cell r="AE52">
            <v>0</v>
          </cell>
          <cell r="AF52">
            <v>0</v>
          </cell>
          <cell r="AG52">
            <v>0</v>
          </cell>
          <cell r="AH52">
            <v>0</v>
          </cell>
          <cell r="AI52">
            <v>18</v>
          </cell>
          <cell r="AJ52">
            <v>18</v>
          </cell>
          <cell r="AK52">
            <v>0</v>
          </cell>
          <cell r="AL52">
            <v>18</v>
          </cell>
          <cell r="AM52" t="str">
            <v xml:space="preserve">Ananda NOVA SASMYTA,  sangat jujur, disiplin, dan sudah mampu meningkatkan sikap percaya diri, </v>
          </cell>
        </row>
        <row r="53">
          <cell r="A53">
            <v>43</v>
          </cell>
          <cell r="B53" t="str">
            <v>RIDHA RAHMATUL AULA RIDWAN</v>
          </cell>
          <cell r="C53">
            <v>20</v>
          </cell>
          <cell r="D53">
            <v>5</v>
          </cell>
          <cell r="E53">
            <v>20</v>
          </cell>
          <cell r="F53">
            <v>5</v>
          </cell>
          <cell r="G53">
            <v>0</v>
          </cell>
          <cell r="H53">
            <v>0</v>
          </cell>
          <cell r="I53">
            <v>0</v>
          </cell>
          <cell r="J53">
            <v>0</v>
          </cell>
          <cell r="K53">
            <v>10</v>
          </cell>
          <cell r="L53">
            <v>10</v>
          </cell>
          <cell r="M53">
            <v>0</v>
          </cell>
          <cell r="N53">
            <v>10</v>
          </cell>
          <cell r="O53">
            <v>16</v>
          </cell>
          <cell r="P53">
            <v>4</v>
          </cell>
          <cell r="Q53">
            <v>16</v>
          </cell>
          <cell r="R53">
            <v>4</v>
          </cell>
          <cell r="S53">
            <v>0</v>
          </cell>
          <cell r="T53">
            <v>0</v>
          </cell>
          <cell r="U53">
            <v>0</v>
          </cell>
          <cell r="V53">
            <v>0</v>
          </cell>
          <cell r="W53">
            <v>8</v>
          </cell>
          <cell r="X53">
            <v>8</v>
          </cell>
          <cell r="Y53">
            <v>0</v>
          </cell>
          <cell r="Z53">
            <v>8</v>
          </cell>
          <cell r="AA53">
            <v>36</v>
          </cell>
          <cell r="AB53">
            <v>9</v>
          </cell>
          <cell r="AC53">
            <v>36</v>
          </cell>
          <cell r="AD53">
            <v>9</v>
          </cell>
          <cell r="AE53">
            <v>0</v>
          </cell>
          <cell r="AF53">
            <v>0</v>
          </cell>
          <cell r="AG53">
            <v>0</v>
          </cell>
          <cell r="AH53">
            <v>0</v>
          </cell>
          <cell r="AI53">
            <v>18</v>
          </cell>
          <cell r="AJ53">
            <v>18</v>
          </cell>
          <cell r="AK53">
            <v>0</v>
          </cell>
          <cell r="AL53">
            <v>18</v>
          </cell>
          <cell r="AM53" t="str">
            <v xml:space="preserve">Ananda RIDHA RAHMATUL AULA RIDWAN,  sangat jujur, disiplin, dan sudah mampu meningkatkan sikap percaya diri, </v>
          </cell>
        </row>
        <row r="54">
          <cell r="A54">
            <v>44</v>
          </cell>
          <cell r="B54" t="str">
            <v>RIFDA SALSABILA PURNAMA</v>
          </cell>
          <cell r="C54">
            <v>20</v>
          </cell>
          <cell r="D54">
            <v>5</v>
          </cell>
          <cell r="E54">
            <v>20</v>
          </cell>
          <cell r="F54">
            <v>5</v>
          </cell>
          <cell r="G54">
            <v>0</v>
          </cell>
          <cell r="H54">
            <v>0</v>
          </cell>
          <cell r="I54">
            <v>0</v>
          </cell>
          <cell r="J54">
            <v>0</v>
          </cell>
          <cell r="K54">
            <v>10</v>
          </cell>
          <cell r="L54">
            <v>10</v>
          </cell>
          <cell r="M54">
            <v>0</v>
          </cell>
          <cell r="N54">
            <v>10</v>
          </cell>
          <cell r="O54">
            <v>16</v>
          </cell>
          <cell r="P54">
            <v>4</v>
          </cell>
          <cell r="Q54">
            <v>16</v>
          </cell>
          <cell r="R54">
            <v>4</v>
          </cell>
          <cell r="S54">
            <v>0</v>
          </cell>
          <cell r="T54">
            <v>0</v>
          </cell>
          <cell r="U54">
            <v>0</v>
          </cell>
          <cell r="V54">
            <v>0</v>
          </cell>
          <cell r="W54">
            <v>8</v>
          </cell>
          <cell r="X54">
            <v>8</v>
          </cell>
          <cell r="Y54">
            <v>0</v>
          </cell>
          <cell r="Z54">
            <v>8</v>
          </cell>
          <cell r="AA54">
            <v>36</v>
          </cell>
          <cell r="AB54">
            <v>9</v>
          </cell>
          <cell r="AC54">
            <v>36</v>
          </cell>
          <cell r="AD54">
            <v>9</v>
          </cell>
          <cell r="AE54">
            <v>0</v>
          </cell>
          <cell r="AF54">
            <v>0</v>
          </cell>
          <cell r="AG54">
            <v>0</v>
          </cell>
          <cell r="AH54">
            <v>0</v>
          </cell>
          <cell r="AI54">
            <v>18</v>
          </cell>
          <cell r="AJ54">
            <v>18</v>
          </cell>
          <cell r="AK54">
            <v>0</v>
          </cell>
          <cell r="AL54">
            <v>18</v>
          </cell>
          <cell r="AM54" t="str">
            <v xml:space="preserve">Ananda RIFDA SALSABILA PURNAMA,  sangat jujur, disiplin, dan sudah mampu meningkatkan sikap percaya diri, </v>
          </cell>
        </row>
        <row r="55">
          <cell r="A55">
            <v>45</v>
          </cell>
          <cell r="B55" t="str">
            <v>RIZKI INTAN KURNIAENDAH</v>
          </cell>
          <cell r="C55">
            <v>20</v>
          </cell>
          <cell r="D55">
            <v>5</v>
          </cell>
          <cell r="E55">
            <v>20</v>
          </cell>
          <cell r="F55">
            <v>5</v>
          </cell>
          <cell r="G55">
            <v>0</v>
          </cell>
          <cell r="H55">
            <v>0</v>
          </cell>
          <cell r="I55">
            <v>0</v>
          </cell>
          <cell r="J55">
            <v>0</v>
          </cell>
          <cell r="K55">
            <v>10</v>
          </cell>
          <cell r="L55">
            <v>10</v>
          </cell>
          <cell r="M55">
            <v>0</v>
          </cell>
          <cell r="N55">
            <v>10</v>
          </cell>
          <cell r="O55">
            <v>16</v>
          </cell>
          <cell r="P55">
            <v>4</v>
          </cell>
          <cell r="Q55">
            <v>16</v>
          </cell>
          <cell r="R55">
            <v>4</v>
          </cell>
          <cell r="S55">
            <v>0</v>
          </cell>
          <cell r="T55">
            <v>0</v>
          </cell>
          <cell r="U55">
            <v>0</v>
          </cell>
          <cell r="V55">
            <v>0</v>
          </cell>
          <cell r="W55">
            <v>8</v>
          </cell>
          <cell r="X55">
            <v>8</v>
          </cell>
          <cell r="Y55">
            <v>0</v>
          </cell>
          <cell r="Z55">
            <v>8</v>
          </cell>
          <cell r="AA55">
            <v>36</v>
          </cell>
          <cell r="AB55">
            <v>9</v>
          </cell>
          <cell r="AC55">
            <v>36</v>
          </cell>
          <cell r="AD55">
            <v>9</v>
          </cell>
          <cell r="AE55">
            <v>0</v>
          </cell>
          <cell r="AF55">
            <v>0</v>
          </cell>
          <cell r="AG55">
            <v>0</v>
          </cell>
          <cell r="AH55">
            <v>0</v>
          </cell>
          <cell r="AI55">
            <v>18</v>
          </cell>
          <cell r="AJ55">
            <v>18</v>
          </cell>
          <cell r="AK55">
            <v>0</v>
          </cell>
          <cell r="AL55">
            <v>18</v>
          </cell>
          <cell r="AM55" t="str">
            <v xml:space="preserve">Ananda RIZKI INTAN KURNIAENDAH,  sangat jujur, disiplin, dan sudah mampu meningkatkan sikap percaya diri, </v>
          </cell>
        </row>
        <row r="56">
          <cell r="A56">
            <v>46</v>
          </cell>
          <cell r="B56" t="str">
            <v>RIZKY FIRMANSYAH</v>
          </cell>
          <cell r="C56">
            <v>20</v>
          </cell>
          <cell r="D56">
            <v>5</v>
          </cell>
          <cell r="E56">
            <v>20</v>
          </cell>
          <cell r="F56">
            <v>5</v>
          </cell>
          <cell r="G56">
            <v>0</v>
          </cell>
          <cell r="H56">
            <v>0</v>
          </cell>
          <cell r="I56">
            <v>0</v>
          </cell>
          <cell r="J56">
            <v>0</v>
          </cell>
          <cell r="K56">
            <v>10</v>
          </cell>
          <cell r="L56">
            <v>10</v>
          </cell>
          <cell r="M56">
            <v>0</v>
          </cell>
          <cell r="N56">
            <v>10</v>
          </cell>
          <cell r="O56">
            <v>16</v>
          </cell>
          <cell r="P56">
            <v>4</v>
          </cell>
          <cell r="Q56">
            <v>16</v>
          </cell>
          <cell r="R56">
            <v>4</v>
          </cell>
          <cell r="S56">
            <v>0</v>
          </cell>
          <cell r="T56">
            <v>0</v>
          </cell>
          <cell r="U56">
            <v>0</v>
          </cell>
          <cell r="V56">
            <v>0</v>
          </cell>
          <cell r="W56">
            <v>8</v>
          </cell>
          <cell r="X56">
            <v>8</v>
          </cell>
          <cell r="Y56">
            <v>0</v>
          </cell>
          <cell r="Z56">
            <v>8</v>
          </cell>
          <cell r="AA56">
            <v>36</v>
          </cell>
          <cell r="AB56">
            <v>9</v>
          </cell>
          <cell r="AC56">
            <v>36</v>
          </cell>
          <cell r="AD56">
            <v>9</v>
          </cell>
          <cell r="AE56">
            <v>0</v>
          </cell>
          <cell r="AF56">
            <v>0</v>
          </cell>
          <cell r="AG56">
            <v>0</v>
          </cell>
          <cell r="AH56">
            <v>0</v>
          </cell>
          <cell r="AI56">
            <v>18</v>
          </cell>
          <cell r="AJ56">
            <v>18</v>
          </cell>
          <cell r="AK56">
            <v>0</v>
          </cell>
          <cell r="AL56">
            <v>18</v>
          </cell>
          <cell r="AM56" t="str">
            <v xml:space="preserve">Ananda RIZKY FIRMANSYAH,  sangat jujur, disiplin, dan sudah mampu meningkatkan sikap percaya diri, </v>
          </cell>
        </row>
        <row r="57">
          <cell r="A57">
            <v>47</v>
          </cell>
          <cell r="B57" t="str">
            <v>SAFIRA NUR LAYLA RAMADHANI</v>
          </cell>
          <cell r="C57">
            <v>20</v>
          </cell>
          <cell r="D57">
            <v>5</v>
          </cell>
          <cell r="E57">
            <v>20</v>
          </cell>
          <cell r="F57">
            <v>5</v>
          </cell>
          <cell r="G57">
            <v>0</v>
          </cell>
          <cell r="H57">
            <v>0</v>
          </cell>
          <cell r="I57">
            <v>0</v>
          </cell>
          <cell r="J57">
            <v>0</v>
          </cell>
          <cell r="K57">
            <v>10</v>
          </cell>
          <cell r="L57">
            <v>10</v>
          </cell>
          <cell r="M57">
            <v>0</v>
          </cell>
          <cell r="N57">
            <v>10</v>
          </cell>
          <cell r="O57">
            <v>16</v>
          </cell>
          <cell r="P57">
            <v>4</v>
          </cell>
          <cell r="Q57">
            <v>16</v>
          </cell>
          <cell r="R57">
            <v>4</v>
          </cell>
          <cell r="S57">
            <v>0</v>
          </cell>
          <cell r="T57">
            <v>0</v>
          </cell>
          <cell r="U57">
            <v>0</v>
          </cell>
          <cell r="V57">
            <v>0</v>
          </cell>
          <cell r="W57">
            <v>8</v>
          </cell>
          <cell r="X57">
            <v>8</v>
          </cell>
          <cell r="Y57">
            <v>0</v>
          </cell>
          <cell r="Z57">
            <v>8</v>
          </cell>
          <cell r="AA57">
            <v>36</v>
          </cell>
          <cell r="AB57">
            <v>9</v>
          </cell>
          <cell r="AC57">
            <v>36</v>
          </cell>
          <cell r="AD57">
            <v>9</v>
          </cell>
          <cell r="AE57">
            <v>0</v>
          </cell>
          <cell r="AF57">
            <v>0</v>
          </cell>
          <cell r="AG57">
            <v>0</v>
          </cell>
          <cell r="AH57">
            <v>0</v>
          </cell>
          <cell r="AI57">
            <v>18</v>
          </cell>
          <cell r="AJ57">
            <v>18</v>
          </cell>
          <cell r="AK57">
            <v>0</v>
          </cell>
          <cell r="AL57">
            <v>18</v>
          </cell>
          <cell r="AM57" t="str">
            <v xml:space="preserve">Ananda SAFIRA NUR LAYLA RAMADHANI,  sangat jujur, disiplin, dan sudah mampu meningkatkan sikap percaya diri, </v>
          </cell>
        </row>
        <row r="58">
          <cell r="A58">
            <v>48</v>
          </cell>
          <cell r="B58" t="str">
            <v>SHANASTRI RUFAIDA</v>
          </cell>
          <cell r="C58">
            <v>20</v>
          </cell>
          <cell r="D58">
            <v>5</v>
          </cell>
          <cell r="E58">
            <v>20</v>
          </cell>
          <cell r="F58">
            <v>5</v>
          </cell>
          <cell r="G58">
            <v>0</v>
          </cell>
          <cell r="H58">
            <v>0</v>
          </cell>
          <cell r="I58">
            <v>0</v>
          </cell>
          <cell r="J58">
            <v>0</v>
          </cell>
          <cell r="K58">
            <v>10</v>
          </cell>
          <cell r="L58">
            <v>10</v>
          </cell>
          <cell r="M58">
            <v>0</v>
          </cell>
          <cell r="N58">
            <v>10</v>
          </cell>
          <cell r="O58">
            <v>16</v>
          </cell>
          <cell r="P58">
            <v>4</v>
          </cell>
          <cell r="Q58">
            <v>16</v>
          </cell>
          <cell r="R58">
            <v>4</v>
          </cell>
          <cell r="S58">
            <v>0</v>
          </cell>
          <cell r="T58">
            <v>0</v>
          </cell>
          <cell r="U58">
            <v>0</v>
          </cell>
          <cell r="V58">
            <v>0</v>
          </cell>
          <cell r="W58">
            <v>8</v>
          </cell>
          <cell r="X58">
            <v>8</v>
          </cell>
          <cell r="Y58">
            <v>0</v>
          </cell>
          <cell r="Z58">
            <v>8</v>
          </cell>
          <cell r="AA58">
            <v>36</v>
          </cell>
          <cell r="AB58">
            <v>9</v>
          </cell>
          <cell r="AC58">
            <v>36</v>
          </cell>
          <cell r="AD58">
            <v>9</v>
          </cell>
          <cell r="AE58">
            <v>0</v>
          </cell>
          <cell r="AF58">
            <v>0</v>
          </cell>
          <cell r="AG58">
            <v>0</v>
          </cell>
          <cell r="AH58">
            <v>0</v>
          </cell>
          <cell r="AI58">
            <v>18</v>
          </cell>
          <cell r="AJ58">
            <v>18</v>
          </cell>
          <cell r="AK58">
            <v>0</v>
          </cell>
          <cell r="AL58">
            <v>18</v>
          </cell>
          <cell r="AM58" t="str">
            <v xml:space="preserve">Ananda SHANASTRI RUFAIDA,  sangat jujur, disiplin, dan sudah mampu meningkatkan sikap percaya diri, </v>
          </cell>
        </row>
        <row r="59">
          <cell r="A59">
            <v>49</v>
          </cell>
          <cell r="B59" t="str">
            <v>SHIAM SAHARA</v>
          </cell>
          <cell r="C59">
            <v>20</v>
          </cell>
          <cell r="D59">
            <v>5</v>
          </cell>
          <cell r="E59">
            <v>20</v>
          </cell>
          <cell r="F59">
            <v>5</v>
          </cell>
          <cell r="G59">
            <v>0</v>
          </cell>
          <cell r="H59">
            <v>0</v>
          </cell>
          <cell r="I59">
            <v>0</v>
          </cell>
          <cell r="J59">
            <v>0</v>
          </cell>
          <cell r="K59">
            <v>10</v>
          </cell>
          <cell r="L59">
            <v>10</v>
          </cell>
          <cell r="M59">
            <v>0</v>
          </cell>
          <cell r="N59">
            <v>10</v>
          </cell>
          <cell r="O59">
            <v>16</v>
          </cell>
          <cell r="P59">
            <v>4</v>
          </cell>
          <cell r="Q59">
            <v>16</v>
          </cell>
          <cell r="R59">
            <v>4</v>
          </cell>
          <cell r="S59">
            <v>0</v>
          </cell>
          <cell r="T59">
            <v>0</v>
          </cell>
          <cell r="U59">
            <v>0</v>
          </cell>
          <cell r="V59">
            <v>0</v>
          </cell>
          <cell r="W59">
            <v>8</v>
          </cell>
          <cell r="X59">
            <v>8</v>
          </cell>
          <cell r="Y59">
            <v>0</v>
          </cell>
          <cell r="Z59">
            <v>8</v>
          </cell>
          <cell r="AA59">
            <v>36</v>
          </cell>
          <cell r="AB59">
            <v>9</v>
          </cell>
          <cell r="AC59">
            <v>36</v>
          </cell>
          <cell r="AD59">
            <v>9</v>
          </cell>
          <cell r="AE59">
            <v>0</v>
          </cell>
          <cell r="AF59">
            <v>0</v>
          </cell>
          <cell r="AG59">
            <v>0</v>
          </cell>
          <cell r="AH59">
            <v>0</v>
          </cell>
          <cell r="AI59">
            <v>18</v>
          </cell>
          <cell r="AJ59">
            <v>18</v>
          </cell>
          <cell r="AK59">
            <v>0</v>
          </cell>
          <cell r="AL59">
            <v>18</v>
          </cell>
          <cell r="AM59" t="str">
            <v xml:space="preserve">Ananda SHIAM SAHARA,  sangat jujur, disiplin, dan sudah mampu meningkatkan sikap percaya diri, </v>
          </cell>
        </row>
        <row r="60">
          <cell r="A60">
            <v>50</v>
          </cell>
          <cell r="B60" t="str">
            <v>SUSAN APRILIA PUTRI</v>
          </cell>
          <cell r="C60">
            <v>20</v>
          </cell>
          <cell r="D60">
            <v>5</v>
          </cell>
          <cell r="E60">
            <v>20</v>
          </cell>
          <cell r="F60">
            <v>5</v>
          </cell>
          <cell r="G60">
            <v>0</v>
          </cell>
          <cell r="H60">
            <v>0</v>
          </cell>
          <cell r="I60">
            <v>0</v>
          </cell>
          <cell r="J60">
            <v>0</v>
          </cell>
          <cell r="K60">
            <v>10</v>
          </cell>
          <cell r="L60">
            <v>10</v>
          </cell>
          <cell r="M60">
            <v>0</v>
          </cell>
          <cell r="N60">
            <v>10</v>
          </cell>
          <cell r="O60">
            <v>16</v>
          </cell>
          <cell r="P60">
            <v>4</v>
          </cell>
          <cell r="Q60">
            <v>16</v>
          </cell>
          <cell r="R60">
            <v>4</v>
          </cell>
          <cell r="S60">
            <v>0</v>
          </cell>
          <cell r="T60">
            <v>0</v>
          </cell>
          <cell r="U60">
            <v>0</v>
          </cell>
          <cell r="V60">
            <v>0</v>
          </cell>
          <cell r="W60">
            <v>8</v>
          </cell>
          <cell r="X60">
            <v>8</v>
          </cell>
          <cell r="Y60">
            <v>0</v>
          </cell>
          <cell r="Z60">
            <v>8</v>
          </cell>
          <cell r="AA60">
            <v>36</v>
          </cell>
          <cell r="AB60">
            <v>9</v>
          </cell>
          <cell r="AC60">
            <v>36</v>
          </cell>
          <cell r="AD60">
            <v>9</v>
          </cell>
          <cell r="AE60">
            <v>0</v>
          </cell>
          <cell r="AF60">
            <v>0</v>
          </cell>
          <cell r="AG60">
            <v>0</v>
          </cell>
          <cell r="AH60">
            <v>0</v>
          </cell>
          <cell r="AI60">
            <v>18</v>
          </cell>
          <cell r="AJ60">
            <v>18</v>
          </cell>
          <cell r="AK60">
            <v>0</v>
          </cell>
          <cell r="AL60">
            <v>18</v>
          </cell>
          <cell r="AM60" t="str">
            <v xml:space="preserve">Ananda SUSAN APRILIA PUTRI,  sangat jujur, disiplin, dan sudah mampu meningkatkan sikap percaya diri, </v>
          </cell>
        </row>
      </sheetData>
      <sheetData sheetId="12"/>
      <sheetData sheetId="13"/>
      <sheetData sheetId="14"/>
      <sheetData sheetId="15"/>
      <sheetData sheetId="16">
        <row r="4">
          <cell r="B4">
            <v>1</v>
          </cell>
          <cell r="C4" t="str">
            <v>AZKA AFINA KHOIRUL IZA</v>
          </cell>
          <cell r="D4">
            <v>79.791666666666671</v>
          </cell>
          <cell r="E4" t="str">
            <v>B</v>
          </cell>
          <cell r="F4" t="str">
            <v xml:space="preserve">Ananda Azka Afina Khoirul Iza baik dalam mengetahui gerak tari kreasi daerah.  Cukup dalam mengetahui karya seni rupa teknik tempel. </v>
          </cell>
        </row>
        <row r="5">
          <cell r="B5">
            <v>2</v>
          </cell>
          <cell r="C5" t="str">
            <v>BAGUS WIDA KANAKA</v>
          </cell>
          <cell r="D5">
            <v>79.791666666666671</v>
          </cell>
          <cell r="E5" t="str">
            <v>B</v>
          </cell>
          <cell r="F5" t="str">
            <v xml:space="preserve">Ananda Bagus Wida Kanaka baik dalam mengetahui gerak tari kreasi daerah.  Cukup dalam mengetahui karya seni rupa teknik tempel. </v>
          </cell>
        </row>
        <row r="6">
          <cell r="B6">
            <v>3</v>
          </cell>
          <cell r="C6" t="str">
            <v>DENI FIRYA ATHALLAH PRADINAYA</v>
          </cell>
          <cell r="D6">
            <v>79.791666666666671</v>
          </cell>
          <cell r="E6" t="str">
            <v>B</v>
          </cell>
          <cell r="F6" t="str">
            <v xml:space="preserve">Ananda Deni Firya Athallah Pradinaya baik dalam mengetahui gerak tari kreasi daerah.  Cukup dalam mengetahui karya seni rupa teknik tempel. </v>
          </cell>
        </row>
        <row r="7">
          <cell r="B7">
            <v>4</v>
          </cell>
          <cell r="C7" t="str">
            <v>DEWI GALUH MULANSARI</v>
          </cell>
          <cell r="D7">
            <v>79.791666666666671</v>
          </cell>
          <cell r="E7" t="str">
            <v>B</v>
          </cell>
          <cell r="F7" t="str">
            <v xml:space="preserve">Ananda Dewi Galuh Mulansari baik dalam mengetahui gerak tari kreasi daerah.  Cukup dalam mengetahui karya seni rupa teknik tempel. </v>
          </cell>
        </row>
        <row r="8">
          <cell r="B8">
            <v>5</v>
          </cell>
          <cell r="C8" t="str">
            <v>DIAN PUJI LESTARI</v>
          </cell>
          <cell r="D8">
            <v>79.791666666666671</v>
          </cell>
          <cell r="E8" t="str">
            <v>B</v>
          </cell>
          <cell r="F8" t="str">
            <v xml:space="preserve">Ananda Dian Puji Lestari baik dalam mengetahui gerak tari kreasi daerah.  Cukup dalam mengetahui karya seni rupa teknik tempel. </v>
          </cell>
        </row>
        <row r="9">
          <cell r="B9">
            <v>6</v>
          </cell>
          <cell r="C9" t="str">
            <v>Hafidz Langgeng Prasetyo</v>
          </cell>
          <cell r="D9">
            <v>79.791666666666671</v>
          </cell>
          <cell r="E9" t="str">
            <v>B</v>
          </cell>
          <cell r="F9" t="str">
            <v xml:space="preserve">Ananda Hafidz Langgeng Prasetyo baik dalam mengetahui gerak tari kreasi daerah.  Cukup dalam mengetahui karya seni rupa teknik tempel. </v>
          </cell>
        </row>
        <row r="10">
          <cell r="B10">
            <v>7</v>
          </cell>
          <cell r="C10" t="str">
            <v>JALU ARTHA AJI MANGGALA HANDOKO</v>
          </cell>
          <cell r="D10">
            <v>79.791666666666671</v>
          </cell>
          <cell r="E10" t="str">
            <v>B</v>
          </cell>
          <cell r="F10" t="str">
            <v xml:space="preserve">Ananda Jalu Artha Aji Manggala Handoko baik dalam mengetahui gerak tari kreasi daerah.  Cukup dalam mengetahui karya seni rupa teknik tempel. </v>
          </cell>
        </row>
        <row r="11">
          <cell r="B11">
            <v>8</v>
          </cell>
          <cell r="C11" t="str">
            <v>LAURENDHO RADIEFCA MURDIONO</v>
          </cell>
          <cell r="D11">
            <v>79.791666666666671</v>
          </cell>
          <cell r="E11" t="str">
            <v>B</v>
          </cell>
          <cell r="F11" t="str">
            <v xml:space="preserve">Ananda Laurendho Radiefca Murdiono baik dalam mengetahui gerak tari kreasi daerah.  Cukup dalam mengetahui karya seni rupa teknik tempel. </v>
          </cell>
        </row>
        <row r="12">
          <cell r="B12">
            <v>9</v>
          </cell>
          <cell r="C12" t="str">
            <v>MARSYA MAYDINA DWI RISQITA</v>
          </cell>
          <cell r="D12">
            <v>79.791666666666671</v>
          </cell>
          <cell r="E12" t="str">
            <v>B</v>
          </cell>
          <cell r="F12" t="str">
            <v xml:space="preserve">Ananda Marsya Maydina Dwi Risqita baik dalam mengetahui gerak tari kreasi daerah.  Cukup dalam mengetahui karya seni rupa teknik tempel. </v>
          </cell>
        </row>
        <row r="13">
          <cell r="B13">
            <v>10</v>
          </cell>
          <cell r="C13" t="str">
            <v>MILA SARASWATI</v>
          </cell>
          <cell r="D13">
            <v>79.791666666666671</v>
          </cell>
          <cell r="E13" t="str">
            <v>B</v>
          </cell>
          <cell r="F13" t="str">
            <v xml:space="preserve">Ananda Mila Saraswati baik dalam mengetahui gerak tari kreasi daerah.  Cukup dalam mengetahui karya seni rupa teknik tempel. </v>
          </cell>
        </row>
        <row r="14">
          <cell r="B14">
            <v>11</v>
          </cell>
          <cell r="C14" t="str">
            <v>MUHAMMAD ARKAN ALLY RACHMAD</v>
          </cell>
          <cell r="D14">
            <v>79.791666666666671</v>
          </cell>
          <cell r="E14" t="str">
            <v>B</v>
          </cell>
          <cell r="F14" t="str">
            <v xml:space="preserve">Ananda Muhammad Arkan Ally Rachmad baik dalam mengetahui gerak tari kreasi daerah.  Cukup dalam mengetahui karya seni rupa teknik tempel. </v>
          </cell>
        </row>
        <row r="15">
          <cell r="B15">
            <v>12</v>
          </cell>
          <cell r="C15" t="str">
            <v>MUHAMMAD REVIAN ABDULLOH FAQIH</v>
          </cell>
          <cell r="D15">
            <v>79.791666666666671</v>
          </cell>
          <cell r="E15" t="str">
            <v>B</v>
          </cell>
          <cell r="F15" t="str">
            <v xml:space="preserve">Ananda Muhammad Revian Abdulloh Faqih baik dalam mengetahui gerak tari kreasi daerah.  Cukup dalam mengetahui karya seni rupa teknik tempel. </v>
          </cell>
        </row>
        <row r="16">
          <cell r="B16">
            <v>13</v>
          </cell>
          <cell r="C16" t="str">
            <v>NABILA AYUNINGTIAS</v>
          </cell>
          <cell r="D16">
            <v>79.791666666666671</v>
          </cell>
          <cell r="E16" t="str">
            <v>B</v>
          </cell>
          <cell r="F16" t="str">
            <v xml:space="preserve">Ananda Nabila Ayuningtias baik dalam mengetahui gerak tari kreasi daerah.  Cukup dalam mengetahui karya seni rupa teknik tempel. </v>
          </cell>
        </row>
        <row r="17">
          <cell r="B17">
            <v>14</v>
          </cell>
          <cell r="C17" t="str">
            <v>NARESWARI MASAYU PUSPANINGRUM</v>
          </cell>
          <cell r="D17">
            <v>79.791666666666671</v>
          </cell>
          <cell r="E17" t="str">
            <v>B</v>
          </cell>
          <cell r="F17" t="str">
            <v xml:space="preserve">Ananda Nareswari Masayu Puspaningrum baik dalam mengetahui gerak tari kreasi daerah.  Cukup dalam mengetahui karya seni rupa teknik tempel. </v>
          </cell>
        </row>
        <row r="18">
          <cell r="B18">
            <v>15</v>
          </cell>
          <cell r="C18" t="str">
            <v>NOVA SASMYTA</v>
          </cell>
          <cell r="D18">
            <v>79.791666666666671</v>
          </cell>
          <cell r="E18" t="str">
            <v>B</v>
          </cell>
          <cell r="F18" t="str">
            <v xml:space="preserve">Ananda Nova Sasmyta baik dalam mengetahui gerak tari kreasi daerah.  Cukup dalam mengetahui karya seni rupa teknik tempel. </v>
          </cell>
        </row>
        <row r="19">
          <cell r="B19">
            <v>16</v>
          </cell>
          <cell r="C19" t="str">
            <v>RIDHA RAHMATUL AULA RIDWAN</v>
          </cell>
          <cell r="D19">
            <v>79.791666666666671</v>
          </cell>
          <cell r="E19" t="str">
            <v>B</v>
          </cell>
          <cell r="F19" t="str">
            <v xml:space="preserve">Ananda Ridha Rahmatul Aula Ridwan baik dalam mengetahui gerak tari kreasi daerah.  Cukup dalam mengetahui karya seni rupa teknik tempel. </v>
          </cell>
        </row>
        <row r="20">
          <cell r="B20">
            <v>17</v>
          </cell>
          <cell r="C20" t="str">
            <v>RIFDA SALSABILA PURNAMA</v>
          </cell>
          <cell r="D20">
            <v>79.791666666666671</v>
          </cell>
          <cell r="E20" t="str">
            <v>B</v>
          </cell>
          <cell r="F20" t="str">
            <v xml:space="preserve">Ananda Rifda Salsabila Purnama baik dalam mengetahui gerak tari kreasi daerah.  Cukup dalam mengetahui karya seni rupa teknik tempel. </v>
          </cell>
        </row>
        <row r="21">
          <cell r="B21">
            <v>18</v>
          </cell>
          <cell r="C21" t="str">
            <v>RIZKI INTAN KURNIAENDAH</v>
          </cell>
          <cell r="D21">
            <v>79.791666666666671</v>
          </cell>
          <cell r="E21" t="str">
            <v>B</v>
          </cell>
          <cell r="F21" t="str">
            <v xml:space="preserve">Ananda Rizki Intan Kurniaendah baik dalam mengetahui gerak tari kreasi daerah.  Cukup dalam mengetahui karya seni rupa teknik tempel. </v>
          </cell>
        </row>
        <row r="22">
          <cell r="B22">
            <v>19</v>
          </cell>
          <cell r="C22" t="str">
            <v>RIZKY FIRMANSYAH</v>
          </cell>
          <cell r="D22">
            <v>79.791666666666671</v>
          </cell>
          <cell r="E22" t="str">
            <v>B</v>
          </cell>
          <cell r="F22" t="str">
            <v xml:space="preserve">Ananda Rizky Firmansyah baik dalam mengetahui gerak tari kreasi daerah.  Cukup dalam mengetahui karya seni rupa teknik tempel. </v>
          </cell>
        </row>
        <row r="23">
          <cell r="B23">
            <v>20</v>
          </cell>
          <cell r="C23" t="str">
            <v>SAFIRA NUR LAYLA RAMADHANI</v>
          </cell>
          <cell r="D23">
            <v>79.791666666666671</v>
          </cell>
          <cell r="E23" t="str">
            <v>B</v>
          </cell>
          <cell r="F23" t="str">
            <v xml:space="preserve">Ananda Safira Nur Layla Ramadhani baik dalam mengetahui gerak tari kreasi daerah.  Cukup dalam mengetahui karya seni rupa teknik tempel. </v>
          </cell>
        </row>
        <row r="24">
          <cell r="B24">
            <v>21</v>
          </cell>
          <cell r="C24" t="str">
            <v>SHANASTRI RUFAIDA</v>
          </cell>
          <cell r="D24">
            <v>79.791666666666671</v>
          </cell>
          <cell r="E24" t="str">
            <v>B</v>
          </cell>
          <cell r="F24" t="str">
            <v xml:space="preserve">Ananda Shanastri Rufaida baik dalam mengetahui gerak tari kreasi daerah.  Cukup dalam mengetahui karya seni rupa teknik tempel. </v>
          </cell>
        </row>
        <row r="25">
          <cell r="B25">
            <v>22</v>
          </cell>
          <cell r="C25" t="str">
            <v>SHIAM SAHARA</v>
          </cell>
          <cell r="D25">
            <v>79.791666666666671</v>
          </cell>
          <cell r="E25" t="str">
            <v>B</v>
          </cell>
          <cell r="F25" t="str">
            <v xml:space="preserve">Ananda Shiam Sahara baik dalam mengetahui gerak tari kreasi daerah.  Cukup dalam mengetahui karya seni rupa teknik tempel. </v>
          </cell>
        </row>
        <row r="26">
          <cell r="B26">
            <v>23</v>
          </cell>
          <cell r="C26" t="str">
            <v>SUSAN APRILIA PUTRI</v>
          </cell>
          <cell r="D26">
            <v>79.791666666666671</v>
          </cell>
          <cell r="E26" t="str">
            <v>B</v>
          </cell>
          <cell r="F26" t="str">
            <v xml:space="preserve">Ananda Susan Aprilia Putri baik dalam mengetahui gerak tari kreasi daerah.  Cukup dalam mengetahui karya seni rupa teknik tempel. </v>
          </cell>
        </row>
        <row r="27">
          <cell r="B27">
            <v>24</v>
          </cell>
          <cell r="C27" t="str">
            <v>SYIFAUL CHUSNA BANATU ROHMI HADI</v>
          </cell>
          <cell r="D27">
            <v>79.791666666666671</v>
          </cell>
          <cell r="E27" t="str">
            <v>B</v>
          </cell>
          <cell r="F27" t="str">
            <v xml:space="preserve">Ananda Syifaul Chusna Banatu Rohmi Hadi baik dalam mengetahui gerak tari kreasi daerah.  Cukup dalam mengetahui karya seni rupa teknik tempel. </v>
          </cell>
        </row>
        <row r="28">
          <cell r="B28">
            <v>25</v>
          </cell>
          <cell r="C28" t="str">
            <v>VANESSA VICKY AYU LESTARI</v>
          </cell>
          <cell r="D28">
            <v>79.791666666666671</v>
          </cell>
          <cell r="E28" t="str">
            <v>B</v>
          </cell>
          <cell r="F28" t="str">
            <v xml:space="preserve">Ananda Vanessa Vicky Ayu Lestari baik dalam mengetahui gerak tari kreasi daerah.  Cukup dalam mengetahui karya seni rupa teknik tempel. </v>
          </cell>
        </row>
        <row r="29">
          <cell r="B29">
            <v>26</v>
          </cell>
          <cell r="C29" t="str">
            <v>WIBI NUR FIRMANSYAH</v>
          </cell>
          <cell r="D29">
            <v>79.791666666666671</v>
          </cell>
          <cell r="E29" t="str">
            <v>B</v>
          </cell>
          <cell r="F29" t="str">
            <v xml:space="preserve">Ananda Wibi Nur Firmansyah baik dalam mengetahui gerak tari kreasi daerah.  Cukup dalam mengetahui karya seni rupa teknik tempel. </v>
          </cell>
        </row>
        <row r="30">
          <cell r="B30">
            <v>27</v>
          </cell>
          <cell r="C30" t="str">
            <v>ZULFIDA NURUL MAZIDAH</v>
          </cell>
          <cell r="D30">
            <v>79.791666666666671</v>
          </cell>
          <cell r="E30" t="str">
            <v>B</v>
          </cell>
          <cell r="F30" t="str">
            <v xml:space="preserve">Ananda Zulfida Nurul Mazidah baik dalam mengetahui gerak tari kreasi daerah.  Cukup dalam mengetahui karya seni rupa teknik tempel. </v>
          </cell>
        </row>
        <row r="31">
          <cell r="B31">
            <v>28</v>
          </cell>
          <cell r="C31" t="str">
            <v>AZKA AFINA KHOIRUL IZA</v>
          </cell>
          <cell r="D31">
            <v>79.791666666666671</v>
          </cell>
          <cell r="E31" t="str">
            <v>B</v>
          </cell>
          <cell r="F31" t="str">
            <v xml:space="preserve">Ananda Azka Afina Khoirul Iza baik dalam mengetahui gerak tari kreasi daerah.  Cukup dalam mengetahui karya seni rupa teknik tempel. </v>
          </cell>
        </row>
        <row r="32">
          <cell r="B32">
            <v>29</v>
          </cell>
          <cell r="C32" t="str">
            <v>BAGUS WIDA KANAKA</v>
          </cell>
          <cell r="D32">
            <v>79.791666666666671</v>
          </cell>
          <cell r="E32" t="str">
            <v>B</v>
          </cell>
          <cell r="F32" t="str">
            <v xml:space="preserve">Ananda Bagus Wida Kanaka baik dalam mengetahui gerak tari kreasi daerah.  Cukup dalam mengetahui karya seni rupa teknik tempel. </v>
          </cell>
        </row>
        <row r="33">
          <cell r="B33">
            <v>30</v>
          </cell>
          <cell r="C33" t="str">
            <v>DENI FIRYA ATHALLAH PRADINAYA</v>
          </cell>
          <cell r="D33">
            <v>79.791666666666671</v>
          </cell>
          <cell r="E33" t="str">
            <v>B</v>
          </cell>
          <cell r="F33" t="str">
            <v xml:space="preserve">Ananda Deni Firya Athallah Pradinaya baik dalam mengetahui gerak tari kreasi daerah.  Cukup dalam mengetahui karya seni rupa teknik tempel. </v>
          </cell>
        </row>
        <row r="34">
          <cell r="B34">
            <v>31</v>
          </cell>
          <cell r="C34" t="str">
            <v>DEWI GALUH MULANSARI</v>
          </cell>
          <cell r="D34">
            <v>79.791666666666671</v>
          </cell>
          <cell r="E34" t="str">
            <v>B</v>
          </cell>
          <cell r="F34" t="str">
            <v xml:space="preserve">Ananda Dewi Galuh Mulansari baik dalam mengetahui gerak tari kreasi daerah.  Cukup dalam mengetahui karya seni rupa teknik tempel. </v>
          </cell>
        </row>
        <row r="35">
          <cell r="B35">
            <v>32</v>
          </cell>
          <cell r="C35" t="str">
            <v>DIAN PUJI LESTARI</v>
          </cell>
          <cell r="D35">
            <v>79.791666666666671</v>
          </cell>
          <cell r="E35" t="str">
            <v>B</v>
          </cell>
          <cell r="F35" t="str">
            <v xml:space="preserve">Ananda Dian Puji Lestari baik dalam mengetahui gerak tari kreasi daerah.  Cukup dalam mengetahui karya seni rupa teknik tempel. </v>
          </cell>
        </row>
        <row r="36">
          <cell r="B36">
            <v>33</v>
          </cell>
          <cell r="C36" t="str">
            <v>Hafidz Langgeng Prasetyo</v>
          </cell>
          <cell r="D36">
            <v>79.791666666666671</v>
          </cell>
          <cell r="E36" t="str">
            <v>B</v>
          </cell>
          <cell r="F36" t="str">
            <v xml:space="preserve">Ananda Hafidz Langgeng Prasetyo baik dalam mengetahui gerak tari kreasi daerah.  Cukup dalam mengetahui karya seni rupa teknik tempel. </v>
          </cell>
        </row>
        <row r="37">
          <cell r="B37">
            <v>34</v>
          </cell>
          <cell r="C37" t="str">
            <v>JALU ARTHA AJI MANGGALA HANDOKO</v>
          </cell>
          <cell r="D37">
            <v>79.791666666666671</v>
          </cell>
          <cell r="E37" t="str">
            <v>B</v>
          </cell>
          <cell r="F37" t="str">
            <v xml:space="preserve">Ananda Jalu Artha Aji Manggala Handoko baik dalam mengetahui gerak tari kreasi daerah.  Cukup dalam mengetahui karya seni rupa teknik tempel. </v>
          </cell>
        </row>
        <row r="38">
          <cell r="B38">
            <v>35</v>
          </cell>
          <cell r="C38" t="str">
            <v>LAURENDHO RADIEFCA MURDIONO</v>
          </cell>
          <cell r="D38">
            <v>79.791666666666671</v>
          </cell>
          <cell r="E38" t="str">
            <v>B</v>
          </cell>
          <cell r="F38" t="str">
            <v xml:space="preserve">Ananda Laurendho Radiefca Murdiono baik dalam mengetahui gerak tari kreasi daerah.  Cukup dalam mengetahui karya seni rupa teknik tempel. </v>
          </cell>
        </row>
        <row r="39">
          <cell r="B39">
            <v>36</v>
          </cell>
          <cell r="C39" t="str">
            <v>MARSYA MAYDINA DWI RISQITA</v>
          </cell>
          <cell r="D39">
            <v>79.791666666666671</v>
          </cell>
          <cell r="E39" t="str">
            <v>B</v>
          </cell>
          <cell r="F39" t="str">
            <v xml:space="preserve">Ananda Marsya Maydina Dwi Risqita baik dalam mengetahui gerak tari kreasi daerah.  Cukup dalam mengetahui karya seni rupa teknik tempel. </v>
          </cell>
        </row>
        <row r="40">
          <cell r="B40">
            <v>37</v>
          </cell>
          <cell r="C40" t="str">
            <v>MILA SARASWATI</v>
          </cell>
          <cell r="D40">
            <v>79.791666666666671</v>
          </cell>
          <cell r="E40" t="str">
            <v>B</v>
          </cell>
          <cell r="F40" t="str">
            <v xml:space="preserve">Ananda Mila Saraswati baik dalam mengetahui gerak tari kreasi daerah.  Cukup dalam mengetahui karya seni rupa teknik tempel. </v>
          </cell>
        </row>
        <row r="41">
          <cell r="B41">
            <v>38</v>
          </cell>
          <cell r="C41" t="str">
            <v>MUHAMMAD ARKAN ALLY RACHMAD</v>
          </cell>
          <cell r="D41">
            <v>79.791666666666671</v>
          </cell>
          <cell r="E41" t="str">
            <v>B</v>
          </cell>
          <cell r="F41" t="str">
            <v xml:space="preserve">Ananda Muhammad Arkan Ally Rachmad baik dalam mengetahui gerak tari kreasi daerah.  Cukup dalam mengetahui karya seni rupa teknik tempel. </v>
          </cell>
        </row>
        <row r="42">
          <cell r="B42">
            <v>39</v>
          </cell>
          <cell r="C42" t="str">
            <v>MUHAMMAD REVIAN ABDULLOH FAQIH</v>
          </cell>
          <cell r="D42">
            <v>79.791666666666671</v>
          </cell>
          <cell r="E42" t="str">
            <v>B</v>
          </cell>
          <cell r="F42" t="str">
            <v xml:space="preserve">Ananda Muhammad Revian Abdulloh Faqih baik dalam mengetahui gerak tari kreasi daerah.  Cukup dalam mengetahui karya seni rupa teknik tempel. </v>
          </cell>
        </row>
        <row r="43">
          <cell r="B43">
            <v>40</v>
          </cell>
          <cell r="C43" t="str">
            <v>NABILA AYUNINGTIAS</v>
          </cell>
          <cell r="D43">
            <v>79.791666666666671</v>
          </cell>
          <cell r="E43" t="str">
            <v>B</v>
          </cell>
          <cell r="F43" t="str">
            <v xml:space="preserve">Ananda Nabila Ayuningtias baik dalam mengetahui gerak tari kreasi daerah.  Cukup dalam mengetahui karya seni rupa teknik tempel. </v>
          </cell>
        </row>
        <row r="44">
          <cell r="B44">
            <v>41</v>
          </cell>
          <cell r="C44" t="str">
            <v>NARESWARI MASAYU PUSPANINGRUM</v>
          </cell>
          <cell r="D44">
            <v>79.791666666666671</v>
          </cell>
          <cell r="E44" t="str">
            <v>B</v>
          </cell>
          <cell r="F44" t="str">
            <v xml:space="preserve">Ananda Nareswari Masayu Puspaningrum baik dalam mengetahui gerak tari kreasi daerah.  Cukup dalam mengetahui karya seni rupa teknik tempel. </v>
          </cell>
        </row>
        <row r="45">
          <cell r="B45">
            <v>42</v>
          </cell>
          <cell r="C45" t="str">
            <v>NOVA SASMYTA</v>
          </cell>
          <cell r="D45">
            <v>79.791666666666671</v>
          </cell>
          <cell r="E45" t="str">
            <v>B</v>
          </cell>
          <cell r="F45" t="str">
            <v xml:space="preserve">Ananda Nova Sasmyta baik dalam mengetahui gerak tari kreasi daerah.  Cukup dalam mengetahui karya seni rupa teknik tempel. </v>
          </cell>
        </row>
        <row r="46">
          <cell r="B46">
            <v>43</v>
          </cell>
          <cell r="C46" t="str">
            <v>RIDHA RAHMATUL AULA RIDWAN</v>
          </cell>
          <cell r="D46">
            <v>79.791666666666671</v>
          </cell>
          <cell r="E46" t="str">
            <v>B</v>
          </cell>
          <cell r="F46" t="str">
            <v xml:space="preserve">Ananda Ridha Rahmatul Aula Ridwan baik dalam mengetahui gerak tari kreasi daerah.  Cukup dalam mengetahui karya seni rupa teknik tempel. </v>
          </cell>
        </row>
        <row r="47">
          <cell r="B47">
            <v>44</v>
          </cell>
          <cell r="C47" t="str">
            <v>RIFDA SALSABILA PURNAMA</v>
          </cell>
          <cell r="D47">
            <v>79.791666666666671</v>
          </cell>
          <cell r="E47" t="str">
            <v>B</v>
          </cell>
          <cell r="F47" t="str">
            <v xml:space="preserve">Ananda Rifda Salsabila Purnama baik dalam mengetahui gerak tari kreasi daerah.  Cukup dalam mengetahui karya seni rupa teknik tempel. </v>
          </cell>
        </row>
        <row r="48">
          <cell r="B48">
            <v>45</v>
          </cell>
          <cell r="C48" t="str">
            <v>RIZKI INTAN KURNIAENDAH</v>
          </cell>
          <cell r="D48">
            <v>79.791666666666671</v>
          </cell>
          <cell r="E48" t="str">
            <v>B</v>
          </cell>
          <cell r="F48" t="str">
            <v xml:space="preserve">Ananda Rizki Intan Kurniaendah baik dalam mengetahui gerak tari kreasi daerah.  Cukup dalam mengetahui karya seni rupa teknik tempel. </v>
          </cell>
        </row>
        <row r="49">
          <cell r="B49">
            <v>46</v>
          </cell>
          <cell r="C49" t="str">
            <v>RIZKY FIRMANSYAH</v>
          </cell>
          <cell r="D49">
            <v>79.791666666666671</v>
          </cell>
          <cell r="E49" t="str">
            <v>B</v>
          </cell>
          <cell r="F49" t="str">
            <v xml:space="preserve">Ananda Rizky Firmansyah baik dalam mengetahui gerak tari kreasi daerah.  Cukup dalam mengetahui karya seni rupa teknik tempel. </v>
          </cell>
        </row>
        <row r="50">
          <cell r="B50">
            <v>47</v>
          </cell>
          <cell r="C50" t="str">
            <v>SAFIRA NUR LAYLA RAMADHANI</v>
          </cell>
          <cell r="D50">
            <v>79.791666666666671</v>
          </cell>
          <cell r="E50" t="str">
            <v>B</v>
          </cell>
          <cell r="F50" t="str">
            <v xml:space="preserve">Ananda Safira Nur Layla Ramadhani baik dalam mengetahui gerak tari kreasi daerah.  Cukup dalam mengetahui karya seni rupa teknik tempel. </v>
          </cell>
        </row>
        <row r="51">
          <cell r="B51">
            <v>48</v>
          </cell>
          <cell r="C51" t="str">
            <v>SHANASTRI RUFAIDA</v>
          </cell>
          <cell r="D51">
            <v>79.791666666666671</v>
          </cell>
          <cell r="E51" t="str">
            <v>B</v>
          </cell>
          <cell r="F51" t="str">
            <v xml:space="preserve">Ananda Shanastri Rufaida baik dalam mengetahui gerak tari kreasi daerah.  Cukup dalam mengetahui karya seni rupa teknik tempel. </v>
          </cell>
        </row>
        <row r="52">
          <cell r="B52">
            <v>49</v>
          </cell>
          <cell r="C52" t="str">
            <v>SHIAM SAHARA</v>
          </cell>
          <cell r="D52">
            <v>79.791666666666671</v>
          </cell>
          <cell r="E52" t="str">
            <v>B</v>
          </cell>
          <cell r="F52" t="str">
            <v xml:space="preserve">Ananda Shiam Sahara baik dalam mengetahui gerak tari kreasi daerah.  Cukup dalam mengetahui karya seni rupa teknik tempel. </v>
          </cell>
        </row>
        <row r="53">
          <cell r="B53">
            <v>50</v>
          </cell>
          <cell r="C53" t="str">
            <v>SUSAN APRILIA PUTRI</v>
          </cell>
          <cell r="D53">
            <v>79.791666666666671</v>
          </cell>
          <cell r="E53" t="str">
            <v>B</v>
          </cell>
          <cell r="F53" t="str">
            <v xml:space="preserve">Ananda Susan Aprilia Putri baik dalam mengetahui gerak tari kreasi daerah.  Cukup dalam mengetahui karya seni rupa teknik tempel. </v>
          </cell>
        </row>
      </sheetData>
      <sheetData sheetId="17"/>
      <sheetData sheetId="18">
        <row r="4">
          <cell r="B4">
            <v>1</v>
          </cell>
          <cell r="C4" t="str">
            <v>AZKA AFINA KHOIRUL IZA</v>
          </cell>
          <cell r="D4">
            <v>79.791666666666671</v>
          </cell>
          <cell r="E4" t="str">
            <v>B</v>
          </cell>
          <cell r="F4" t="str">
            <v>Ananda Azka Afina Khoirul Iza baik dalam Menjelaskan manfaat keberagaman karakteristik individu dalam kehidupan sehari-hari..  Cukup dalam Mengidentifikasi berbagai bentuk keberagaman suku bangsa, sosial, dan budaya di Indonesia yang terikat persatuan dan</v>
          </cell>
        </row>
        <row r="5">
          <cell r="B5">
            <v>2</v>
          </cell>
          <cell r="C5" t="str">
            <v>BAGUS WIDA KANAKA</v>
          </cell>
          <cell r="D5">
            <v>79.791666666666671</v>
          </cell>
          <cell r="E5" t="str">
            <v>B</v>
          </cell>
          <cell r="F5" t="str">
            <v>Ananda Bagus Wida Kanaka baik dalam Menjelaskan manfaat keberagaman karakteristik individu dalam kehidupan sehari-hari..  Cukup dalam Mengidentifikasi berbagai bentuk keberagaman suku bangsa, sosial, dan budaya di Indonesia yang terikat persatuan dan kesa</v>
          </cell>
        </row>
        <row r="6">
          <cell r="B6">
            <v>3</v>
          </cell>
          <cell r="C6" t="str">
            <v>DENI FIRYA ATHALLAH PRADINAYA</v>
          </cell>
          <cell r="D6">
            <v>79.791666666666671</v>
          </cell>
          <cell r="E6" t="str">
            <v>B</v>
          </cell>
          <cell r="F6" t="str">
            <v>Ananda Deni Firya Athallah Pradinaya baik dalam Menjelaskan manfaat keberagaman karakteristik individu dalam kehidupan sehari-hari..  Cukup dalam Mengidentifikasi berbagai bentuk keberagaman suku bangsa, sosial, dan budaya di Indonesia yang terikat persat</v>
          </cell>
        </row>
        <row r="7">
          <cell r="B7">
            <v>4</v>
          </cell>
          <cell r="C7" t="str">
            <v>DEWI GALUH MULANSARI</v>
          </cell>
          <cell r="D7">
            <v>79.791666666666671</v>
          </cell>
          <cell r="E7" t="str">
            <v>B</v>
          </cell>
          <cell r="F7" t="str">
            <v>Ananda Dewi Galuh Mulansari baik dalam Menjelaskan manfaat keberagaman karakteristik individu dalam kehidupan sehari-hari..  Cukup dalam Mengidentifikasi berbagai bentuk keberagaman suku bangsa, sosial, dan budaya di Indonesia yang terikat persatuan dan k</v>
          </cell>
        </row>
        <row r="8">
          <cell r="B8">
            <v>5</v>
          </cell>
          <cell r="C8" t="str">
            <v>DIAN PUJI LESTARI</v>
          </cell>
          <cell r="D8">
            <v>79.791666666666671</v>
          </cell>
          <cell r="E8" t="str">
            <v>B</v>
          </cell>
          <cell r="F8" t="str">
            <v>Ananda Dian Puji Lestari baik dalam Menjelaskan manfaat keberagaman karakteristik individu dalam kehidupan sehari-hari..  Cukup dalam Mengidentifikasi berbagai bentuk keberagaman suku bangsa, sosial, dan budaya di Indonesia yang terikat persatuan dan kesa</v>
          </cell>
        </row>
        <row r="9">
          <cell r="B9">
            <v>6</v>
          </cell>
          <cell r="C9" t="str">
            <v>Hafidz Langgeng Prasetyo</v>
          </cell>
          <cell r="D9">
            <v>79.791666666666671</v>
          </cell>
          <cell r="E9" t="str">
            <v>B</v>
          </cell>
          <cell r="F9" t="str">
            <v>Ananda Hafidz Langgeng Prasetyo baik dalam Menjelaskan manfaat keberagaman karakteristik individu dalam kehidupan sehari-hari..  Cukup dalam Mengidentifikasi berbagai bentuk keberagaman suku bangsa, sosial, dan budaya di Indonesia yang terikat persatuan d</v>
          </cell>
        </row>
        <row r="10">
          <cell r="B10">
            <v>7</v>
          </cell>
          <cell r="C10" t="str">
            <v>JALU ARTHA AJI MANGGALA HANDOKO</v>
          </cell>
          <cell r="D10">
            <v>79.791666666666671</v>
          </cell>
          <cell r="E10" t="str">
            <v>B</v>
          </cell>
          <cell r="F10" t="str">
            <v>Ananda Jalu Artha Aji Manggala Handoko baik dalam Menjelaskan manfaat keberagaman karakteristik individu dalam kehidupan sehari-hari..  Cukup dalam Mengidentifikasi berbagai bentuk keberagaman suku bangsa, sosial, dan budaya di Indonesia yang terikat pers</v>
          </cell>
        </row>
        <row r="11">
          <cell r="B11">
            <v>8</v>
          </cell>
          <cell r="C11" t="str">
            <v>LAURENDHO RADIEFCA MURDIONO</v>
          </cell>
          <cell r="D11">
            <v>79.791666666666671</v>
          </cell>
          <cell r="E11" t="str">
            <v>B</v>
          </cell>
          <cell r="F11" t="str">
            <v>Ananda Laurendho Radiefca Murdiono baik dalam Menjelaskan manfaat keberagaman karakteristik individu dalam kehidupan sehari-hari..  Cukup dalam Mengidentifikasi berbagai bentuk keberagaman suku bangsa, sosial, dan budaya di Indonesia yang terikat persatua</v>
          </cell>
        </row>
        <row r="12">
          <cell r="B12">
            <v>9</v>
          </cell>
          <cell r="C12" t="str">
            <v>MARSYA MAYDINA DWI RISQITA</v>
          </cell>
          <cell r="D12">
            <v>79.791666666666671</v>
          </cell>
          <cell r="E12" t="str">
            <v>B</v>
          </cell>
          <cell r="F12" t="str">
            <v>Ananda Marsya Maydina Dwi Risqita baik dalam Menjelaskan manfaat keberagaman karakteristik individu dalam kehidupan sehari-hari..  Cukup dalam Mengidentifikasi berbagai bentuk keberagaman suku bangsa, sosial, dan budaya di Indonesia yang terikat persatuan</v>
          </cell>
        </row>
        <row r="13">
          <cell r="B13">
            <v>10</v>
          </cell>
          <cell r="C13" t="str">
            <v>MILA SARASWATI</v>
          </cell>
          <cell r="D13">
            <v>79.791666666666671</v>
          </cell>
          <cell r="E13" t="str">
            <v>B</v>
          </cell>
          <cell r="F13" t="str">
            <v>Ananda Mila Saraswati baik dalam Menjelaskan manfaat keberagaman karakteristik individu dalam kehidupan sehari-hari..  Cukup dalam Mengidentifikasi berbagai bentuk keberagaman suku bangsa, sosial, dan budaya di Indonesia yang terikat persatuan dan kesatua</v>
          </cell>
        </row>
        <row r="14">
          <cell r="B14">
            <v>11</v>
          </cell>
          <cell r="C14" t="str">
            <v>MUHAMMAD ARKAN ALLY RACHMAD</v>
          </cell>
          <cell r="D14">
            <v>79.791666666666671</v>
          </cell>
          <cell r="E14" t="str">
            <v>B</v>
          </cell>
          <cell r="F14" t="str">
            <v>Ananda Muhammad Arkan Ally Rachmad baik dalam Menjelaskan manfaat keberagaman karakteristik individu dalam kehidupan sehari-hari..  Cukup dalam Mengidentifikasi berbagai bentuk keberagaman suku bangsa, sosial, dan budaya di Indonesia yang terikat persatua</v>
          </cell>
        </row>
        <row r="15">
          <cell r="B15">
            <v>12</v>
          </cell>
          <cell r="C15" t="str">
            <v>MUHAMMAD REVIAN ABDULLOH FAQIH</v>
          </cell>
          <cell r="D15">
            <v>79.791666666666671</v>
          </cell>
          <cell r="E15" t="str">
            <v>B</v>
          </cell>
          <cell r="F15" t="str">
            <v>Ananda Muhammad Revian Abdulloh Faqih baik dalam Menjelaskan manfaat keberagaman karakteristik individu dalam kehidupan sehari-hari..  Cukup dalam Mengidentifikasi berbagai bentuk keberagaman suku bangsa, sosial, dan budaya di Indonesia yang terikat persa</v>
          </cell>
        </row>
        <row r="16">
          <cell r="B16">
            <v>13</v>
          </cell>
          <cell r="C16" t="str">
            <v>NABILA AYUNINGTIAS</v>
          </cell>
          <cell r="D16">
            <v>79.791666666666671</v>
          </cell>
          <cell r="E16" t="str">
            <v>B</v>
          </cell>
          <cell r="F16" t="str">
            <v>Ananda Nabila Ayuningtias baik dalam Menjelaskan manfaat keberagaman karakteristik individu dalam kehidupan sehari-hari..  Cukup dalam Mengidentifikasi berbagai bentuk keberagaman suku bangsa, sosial, dan budaya di Indonesia yang terikat persatuan dan kes</v>
          </cell>
        </row>
        <row r="17">
          <cell r="B17">
            <v>14</v>
          </cell>
          <cell r="C17" t="str">
            <v>NARESWARI MASAYU PUSPANINGRUM</v>
          </cell>
          <cell r="D17">
            <v>79.791666666666671</v>
          </cell>
          <cell r="E17" t="str">
            <v>B</v>
          </cell>
          <cell r="F17" t="str">
            <v>Ananda Nareswari Masayu Puspaningrum baik dalam Menjelaskan manfaat keberagaman karakteristik individu dalam kehidupan sehari-hari..  Cukup dalam Mengidentifikasi berbagai bentuk keberagaman suku bangsa, sosial, dan budaya di Indonesia yang terikat persat</v>
          </cell>
        </row>
        <row r="18">
          <cell r="B18">
            <v>15</v>
          </cell>
          <cell r="C18" t="str">
            <v>NOVA SASMYTA</v>
          </cell>
          <cell r="D18">
            <v>79.791666666666671</v>
          </cell>
          <cell r="E18" t="str">
            <v>B</v>
          </cell>
          <cell r="F18" t="str">
            <v>Ananda Nova Sasmyta baik dalam Menjelaskan manfaat keberagaman karakteristik individu dalam kehidupan sehari-hari..  Cukup dalam Mengidentifikasi berbagai bentuk keberagaman suku bangsa, sosial, dan budaya di Indonesia yang terikat persatuan dan kesatuan.</v>
          </cell>
        </row>
        <row r="19">
          <cell r="B19">
            <v>16</v>
          </cell>
          <cell r="C19" t="str">
            <v>RIDHA RAHMATUL AULA RIDWAN</v>
          </cell>
          <cell r="D19">
            <v>79.791666666666671</v>
          </cell>
          <cell r="E19" t="str">
            <v>B</v>
          </cell>
          <cell r="F19" t="str">
            <v>Ananda Ridha Rahmatul Aula Ridwan baik dalam Menjelaskan manfaat keberagaman karakteristik individu dalam kehidupan sehari-hari..  Cukup dalam Mengidentifikasi berbagai bentuk keberagaman suku bangsa, sosial, dan budaya di Indonesia yang terikat persatuan</v>
          </cell>
        </row>
        <row r="20">
          <cell r="B20">
            <v>17</v>
          </cell>
          <cell r="C20" t="str">
            <v>RIFDA SALSABILA PURNAMA</v>
          </cell>
          <cell r="D20">
            <v>79.791666666666671</v>
          </cell>
          <cell r="E20" t="str">
            <v>B</v>
          </cell>
          <cell r="F20" t="str">
            <v>Ananda Rifda Salsabila Purnama baik dalam Menjelaskan manfaat keberagaman karakteristik individu dalam kehidupan sehari-hari..  Cukup dalam Mengidentifikasi berbagai bentuk keberagaman suku bangsa, sosial, dan budaya di Indonesia yang terikat persatuan da</v>
          </cell>
        </row>
        <row r="21">
          <cell r="B21">
            <v>18</v>
          </cell>
          <cell r="C21" t="str">
            <v>RIZKI INTAN KURNIAENDAH</v>
          </cell>
          <cell r="D21">
            <v>79.791666666666671</v>
          </cell>
          <cell r="E21" t="str">
            <v>B</v>
          </cell>
          <cell r="F21" t="str">
            <v>Ananda Rizki Intan Kurniaendah baik dalam Menjelaskan manfaat keberagaman karakteristik individu dalam kehidupan sehari-hari..  Cukup dalam Mengidentifikasi berbagai bentuk keberagaman suku bangsa, sosial, dan budaya di Indonesia yang terikat persatuan da</v>
          </cell>
        </row>
        <row r="22">
          <cell r="B22">
            <v>19</v>
          </cell>
          <cell r="C22" t="str">
            <v>RIZKY FIRMANSYAH</v>
          </cell>
          <cell r="D22">
            <v>79.791666666666671</v>
          </cell>
          <cell r="E22" t="str">
            <v>B</v>
          </cell>
          <cell r="F22" t="str">
            <v>Ananda Rizky Firmansyah baik dalam Menjelaskan manfaat keberagaman karakteristik individu dalam kehidupan sehari-hari..  Cukup dalam Mengidentifikasi berbagai bentuk keberagaman suku bangsa, sosial, dan budaya di Indonesia yang terikat persatuan dan kesat</v>
          </cell>
        </row>
        <row r="23">
          <cell r="B23">
            <v>20</v>
          </cell>
          <cell r="C23" t="str">
            <v>SAFIRA NUR LAYLA RAMADHANI</v>
          </cell>
          <cell r="D23">
            <v>79.791666666666671</v>
          </cell>
          <cell r="E23" t="str">
            <v>B</v>
          </cell>
          <cell r="F23" t="str">
            <v>Ananda Safira Nur Layla Ramadhani baik dalam Menjelaskan manfaat keberagaman karakteristik individu dalam kehidupan sehari-hari..  Cukup dalam Mengidentifikasi berbagai bentuk keberagaman suku bangsa, sosial, dan budaya di Indonesia yang terikat persatuan</v>
          </cell>
        </row>
        <row r="24">
          <cell r="B24">
            <v>21</v>
          </cell>
          <cell r="C24" t="str">
            <v>SHANASTRI RUFAIDA</v>
          </cell>
          <cell r="D24">
            <v>79.791666666666671</v>
          </cell>
          <cell r="E24" t="str">
            <v>B</v>
          </cell>
          <cell r="F24" t="str">
            <v>Ananda Shanastri Rufaida baik dalam Menjelaskan manfaat keberagaman karakteristik individu dalam kehidupan sehari-hari..  Cukup dalam Mengidentifikasi berbagai bentuk keberagaman suku bangsa, sosial, dan budaya di Indonesia yang terikat persatuan dan kesa</v>
          </cell>
        </row>
        <row r="25">
          <cell r="B25">
            <v>22</v>
          </cell>
          <cell r="C25" t="str">
            <v>SHIAM SAHARA</v>
          </cell>
          <cell r="D25">
            <v>79.791666666666671</v>
          </cell>
          <cell r="E25" t="str">
            <v>B</v>
          </cell>
          <cell r="F25" t="str">
            <v>Ananda Shiam Sahara baik dalam Menjelaskan manfaat keberagaman karakteristik individu dalam kehidupan sehari-hari..  Cukup dalam Mengidentifikasi berbagai bentuk keberagaman suku bangsa, sosial, dan budaya di Indonesia yang terikat persatuan dan kesatuan.</v>
          </cell>
        </row>
        <row r="26">
          <cell r="B26">
            <v>23</v>
          </cell>
          <cell r="C26" t="str">
            <v>SUSAN APRILIA PUTRI</v>
          </cell>
          <cell r="D26">
            <v>79.791666666666671</v>
          </cell>
          <cell r="E26" t="str">
            <v>B</v>
          </cell>
          <cell r="F26" t="str">
            <v>Ananda Susan Aprilia Putri baik dalam Menjelaskan manfaat keberagaman karakteristik individu dalam kehidupan sehari-hari..  Cukup dalam Mengidentifikasi berbagai bentuk keberagaman suku bangsa, sosial, dan budaya di Indonesia yang terikat persatuan dan ke</v>
          </cell>
        </row>
        <row r="27">
          <cell r="B27">
            <v>24</v>
          </cell>
          <cell r="C27" t="str">
            <v>SYIFAUL CHUSNA BANATU ROHMI HADI</v>
          </cell>
          <cell r="D27">
            <v>79.791666666666671</v>
          </cell>
          <cell r="E27" t="str">
            <v>B</v>
          </cell>
          <cell r="F27" t="str">
            <v>Ananda Syifaul Chusna Banatu Rohmi Hadi baik dalam Menjelaskan manfaat keberagaman karakteristik individu dalam kehidupan sehari-hari..  Cukup dalam Mengidentifikasi berbagai bentuk keberagaman suku bangsa, sosial, dan budaya di Indonesia yang terikat per</v>
          </cell>
        </row>
        <row r="28">
          <cell r="B28">
            <v>25</v>
          </cell>
          <cell r="C28" t="str">
            <v>VANESSA VICKY AYU LESTARI</v>
          </cell>
          <cell r="D28">
            <v>79.791666666666671</v>
          </cell>
          <cell r="E28" t="str">
            <v>B</v>
          </cell>
          <cell r="F28" t="str">
            <v xml:space="preserve">Ananda Vanessa Vicky Ayu Lestari baik dalam Menjelaskan manfaat keberagaman karakteristik individu dalam kehidupan sehari-hari..  Cukup dalam Mengidentifikasi berbagai bentuk keberagaman suku bangsa, sosial, dan budaya di Indonesia yang terikat persatuan </v>
          </cell>
        </row>
        <row r="29">
          <cell r="B29">
            <v>26</v>
          </cell>
          <cell r="C29" t="str">
            <v>WIBI NUR FIRMANSYAH</v>
          </cell>
          <cell r="D29">
            <v>79.791666666666671</v>
          </cell>
          <cell r="E29" t="str">
            <v>B</v>
          </cell>
          <cell r="F29" t="str">
            <v>Ananda Wibi Nur Firmansyah baik dalam Menjelaskan manfaat keberagaman karakteristik individu dalam kehidupan sehari-hari..  Cukup dalam Mengidentifikasi berbagai bentuk keberagaman suku bangsa, sosial, dan budaya di Indonesia yang terikat persatuan dan ke</v>
          </cell>
        </row>
        <row r="30">
          <cell r="B30">
            <v>27</v>
          </cell>
          <cell r="C30" t="str">
            <v>ZULFIDA NURUL MAZIDAH</v>
          </cell>
          <cell r="D30">
            <v>79.791666666666671</v>
          </cell>
          <cell r="E30" t="str">
            <v>B</v>
          </cell>
          <cell r="F30" t="str">
            <v xml:space="preserve">Ananda Zulfida Nurul Mazidah baik dalam Menjelaskan manfaat keberagaman karakteristik individu dalam kehidupan sehari-hari..  Cukup dalam Mengidentifikasi berbagai bentuk keberagaman suku bangsa, sosial, dan budaya di Indonesia yang terikat persatuan dan </v>
          </cell>
        </row>
        <row r="31">
          <cell r="B31">
            <v>28</v>
          </cell>
          <cell r="C31" t="str">
            <v>AZKA AFINA KHOIRUL IZA</v>
          </cell>
          <cell r="D31">
            <v>79.791666666666671</v>
          </cell>
          <cell r="E31" t="str">
            <v>B</v>
          </cell>
          <cell r="F31" t="str">
            <v>Ananda Azka Afina Khoirul Iza baik dalam Menjelaskan manfaat keberagaman karakteristik individu dalam kehidupan sehari-hari..  Cukup dalam Mengidentifikasi berbagai bentuk keberagaman suku bangsa, sosial, dan budaya di Indonesia yang terikat persatuan dan</v>
          </cell>
        </row>
        <row r="32">
          <cell r="B32">
            <v>29</v>
          </cell>
          <cell r="C32" t="str">
            <v>BAGUS WIDA KANAKA</v>
          </cell>
          <cell r="D32">
            <v>79.791666666666671</v>
          </cell>
          <cell r="E32" t="str">
            <v>B</v>
          </cell>
          <cell r="F32" t="str">
            <v>Ananda Bagus Wida Kanaka baik dalam Menjelaskan manfaat keberagaman karakteristik individu dalam kehidupan sehari-hari..  Cukup dalam Mengidentifikasi berbagai bentuk keberagaman suku bangsa, sosial, dan budaya di Indonesia yang terikat persatuan dan kesa</v>
          </cell>
        </row>
        <row r="33">
          <cell r="B33">
            <v>30</v>
          </cell>
          <cell r="C33" t="str">
            <v>DENI FIRYA ATHALLAH PRADINAYA</v>
          </cell>
          <cell r="D33">
            <v>79.791666666666671</v>
          </cell>
          <cell r="E33" t="str">
            <v>B</v>
          </cell>
          <cell r="F33" t="str">
            <v>Ananda Deni Firya Athallah Pradinaya baik dalam Menjelaskan manfaat keberagaman karakteristik individu dalam kehidupan sehari-hari..  Cukup dalam Mengidentifikasi berbagai bentuk keberagaman suku bangsa, sosial, dan budaya di Indonesia yang terikat persat</v>
          </cell>
        </row>
        <row r="34">
          <cell r="B34">
            <v>31</v>
          </cell>
          <cell r="C34" t="str">
            <v>DEWI GALUH MULANSARI</v>
          </cell>
          <cell r="D34">
            <v>79.791666666666671</v>
          </cell>
          <cell r="E34" t="str">
            <v>B</v>
          </cell>
          <cell r="F34" t="str">
            <v>Ananda Dewi Galuh Mulansari baik dalam Menjelaskan manfaat keberagaman karakteristik individu dalam kehidupan sehari-hari..  Cukup dalam Mengidentifikasi berbagai bentuk keberagaman suku bangsa, sosial, dan budaya di Indonesia yang terikat persatuan dan k</v>
          </cell>
        </row>
        <row r="35">
          <cell r="B35">
            <v>32</v>
          </cell>
          <cell r="C35" t="str">
            <v>DIAN PUJI LESTARI</v>
          </cell>
          <cell r="D35">
            <v>79.791666666666671</v>
          </cell>
          <cell r="E35" t="str">
            <v>B</v>
          </cell>
          <cell r="F35" t="str">
            <v>Ananda Dian Puji Lestari baik dalam Menjelaskan manfaat keberagaman karakteristik individu dalam kehidupan sehari-hari..  Cukup dalam Mengidentifikasi berbagai bentuk keberagaman suku bangsa, sosial, dan budaya di Indonesia yang terikat persatuan dan kesa</v>
          </cell>
        </row>
        <row r="36">
          <cell r="B36">
            <v>33</v>
          </cell>
          <cell r="C36" t="str">
            <v>Hafidz Langgeng Prasetyo</v>
          </cell>
          <cell r="D36">
            <v>79.791666666666671</v>
          </cell>
          <cell r="E36" t="str">
            <v>B</v>
          </cell>
          <cell r="F36" t="str">
            <v>Ananda Hafidz Langgeng Prasetyo baik dalam Menjelaskan manfaat keberagaman karakteristik individu dalam kehidupan sehari-hari..  Cukup dalam Mengidentifikasi berbagai bentuk keberagaman suku bangsa, sosial, dan budaya di Indonesia yang terikat persatuan d</v>
          </cell>
        </row>
        <row r="37">
          <cell r="B37">
            <v>34</v>
          </cell>
          <cell r="C37" t="str">
            <v>JALU ARTHA AJI MANGGALA HANDOKO</v>
          </cell>
          <cell r="D37">
            <v>79.791666666666671</v>
          </cell>
          <cell r="E37" t="str">
            <v>B</v>
          </cell>
          <cell r="F37" t="str">
            <v>Ananda Jalu Artha Aji Manggala Handoko baik dalam Menjelaskan manfaat keberagaman karakteristik individu dalam kehidupan sehari-hari..  Cukup dalam Mengidentifikasi berbagai bentuk keberagaman suku bangsa, sosial, dan budaya di Indonesia yang terikat pers</v>
          </cell>
        </row>
        <row r="38">
          <cell r="B38">
            <v>35</v>
          </cell>
          <cell r="C38" t="str">
            <v>LAURENDHO RADIEFCA MURDIONO</v>
          </cell>
          <cell r="D38">
            <v>79.791666666666671</v>
          </cell>
          <cell r="E38" t="str">
            <v>B</v>
          </cell>
          <cell r="F38" t="str">
            <v>Ananda Laurendho Radiefca Murdiono baik dalam Menjelaskan manfaat keberagaman karakteristik individu dalam kehidupan sehari-hari..  Cukup dalam Mengidentifikasi berbagai bentuk keberagaman suku bangsa, sosial, dan budaya di Indonesia yang terikat persatua</v>
          </cell>
        </row>
        <row r="39">
          <cell r="B39">
            <v>36</v>
          </cell>
          <cell r="C39" t="str">
            <v>MARSYA MAYDINA DWI RISQITA</v>
          </cell>
          <cell r="D39">
            <v>79.791666666666671</v>
          </cell>
          <cell r="E39" t="str">
            <v>B</v>
          </cell>
          <cell r="F39" t="str">
            <v>Ananda Marsya Maydina Dwi Risqita baik dalam Menjelaskan manfaat keberagaman karakteristik individu dalam kehidupan sehari-hari..  Cukup dalam Mengidentifikasi berbagai bentuk keberagaman suku bangsa, sosial, dan budaya di Indonesia yang terikat persatuan</v>
          </cell>
        </row>
        <row r="40">
          <cell r="B40">
            <v>37</v>
          </cell>
          <cell r="C40" t="str">
            <v>MILA SARASWATI</v>
          </cell>
          <cell r="D40">
            <v>79.791666666666671</v>
          </cell>
          <cell r="E40" t="str">
            <v>B</v>
          </cell>
          <cell r="F40" t="str">
            <v>Ananda Mila Saraswati baik dalam Menjelaskan manfaat keberagaman karakteristik individu dalam kehidupan sehari-hari..  Cukup dalam Mengidentifikasi berbagai bentuk keberagaman suku bangsa, sosial, dan budaya di Indonesia yang terikat persatuan dan kesatua</v>
          </cell>
        </row>
        <row r="41">
          <cell r="B41">
            <v>38</v>
          </cell>
          <cell r="C41" t="str">
            <v>MUHAMMAD ARKAN ALLY RACHMAD</v>
          </cell>
          <cell r="D41">
            <v>79.791666666666671</v>
          </cell>
          <cell r="E41" t="str">
            <v>B</v>
          </cell>
          <cell r="F41" t="str">
            <v>Ananda Muhammad Arkan Ally Rachmad baik dalam Menjelaskan manfaat keberagaman karakteristik individu dalam kehidupan sehari-hari..  Cukup dalam Mengidentifikasi berbagai bentuk keberagaman suku bangsa, sosial, dan budaya di Indonesia yang terikat persatua</v>
          </cell>
        </row>
        <row r="42">
          <cell r="B42">
            <v>39</v>
          </cell>
          <cell r="C42" t="str">
            <v>MUHAMMAD REVIAN ABDULLOH FAQIH</v>
          </cell>
          <cell r="D42">
            <v>79.791666666666671</v>
          </cell>
          <cell r="E42" t="str">
            <v>B</v>
          </cell>
          <cell r="F42" t="str">
            <v>Ananda Muhammad Revian Abdulloh Faqih baik dalam Menjelaskan manfaat keberagaman karakteristik individu dalam kehidupan sehari-hari..  Cukup dalam Mengidentifikasi berbagai bentuk keberagaman suku bangsa, sosial, dan budaya di Indonesia yang terikat persa</v>
          </cell>
        </row>
        <row r="43">
          <cell r="B43">
            <v>40</v>
          </cell>
          <cell r="C43" t="str">
            <v>NABILA AYUNINGTIAS</v>
          </cell>
          <cell r="D43">
            <v>79.791666666666671</v>
          </cell>
          <cell r="E43" t="str">
            <v>B</v>
          </cell>
          <cell r="F43" t="str">
            <v>Ananda Nabila Ayuningtias baik dalam Menjelaskan manfaat keberagaman karakteristik individu dalam kehidupan sehari-hari..  Cukup dalam Mengidentifikasi berbagai bentuk keberagaman suku bangsa, sosial, dan budaya di Indonesia yang terikat persatuan dan kes</v>
          </cell>
        </row>
        <row r="44">
          <cell r="B44">
            <v>41</v>
          </cell>
          <cell r="C44" t="str">
            <v>NARESWARI MASAYU PUSPANINGRUM</v>
          </cell>
          <cell r="D44">
            <v>79.791666666666671</v>
          </cell>
          <cell r="E44" t="str">
            <v>B</v>
          </cell>
          <cell r="F44" t="str">
            <v>Ananda Nareswari Masayu Puspaningrum baik dalam Menjelaskan manfaat keberagaman karakteristik individu dalam kehidupan sehari-hari..  Cukup dalam Mengidentifikasi berbagai bentuk keberagaman suku bangsa, sosial, dan budaya di Indonesia yang terikat persat</v>
          </cell>
        </row>
        <row r="45">
          <cell r="B45">
            <v>42</v>
          </cell>
          <cell r="C45" t="str">
            <v>NOVA SASMYTA</v>
          </cell>
          <cell r="D45">
            <v>79.791666666666671</v>
          </cell>
          <cell r="E45" t="str">
            <v>B</v>
          </cell>
          <cell r="F45" t="str">
            <v>Ananda Nova Sasmyta baik dalam Menjelaskan manfaat keberagaman karakteristik individu dalam kehidupan sehari-hari..  Cukup dalam Mengidentifikasi berbagai bentuk keberagaman suku bangsa, sosial, dan budaya di Indonesia yang terikat persatuan dan kesatuan.</v>
          </cell>
        </row>
        <row r="46">
          <cell r="B46">
            <v>43</v>
          </cell>
          <cell r="C46" t="str">
            <v>RIDHA RAHMATUL AULA RIDWAN</v>
          </cell>
          <cell r="D46">
            <v>79.791666666666671</v>
          </cell>
          <cell r="E46" t="str">
            <v>B</v>
          </cell>
          <cell r="F46" t="str">
            <v>Ananda Ridha Rahmatul Aula Ridwan baik dalam Menjelaskan manfaat keberagaman karakteristik individu dalam kehidupan sehari-hari..  Cukup dalam Mengidentifikasi berbagai bentuk keberagaman suku bangsa, sosial, dan budaya di Indonesia yang terikat persatuan</v>
          </cell>
        </row>
        <row r="47">
          <cell r="B47">
            <v>44</v>
          </cell>
          <cell r="C47" t="str">
            <v>RIFDA SALSABILA PURNAMA</v>
          </cell>
          <cell r="D47">
            <v>79.791666666666671</v>
          </cell>
          <cell r="E47" t="str">
            <v>B</v>
          </cell>
          <cell r="F47" t="str">
            <v>Ananda Rifda Salsabila Purnama baik dalam Menjelaskan manfaat keberagaman karakteristik individu dalam kehidupan sehari-hari..  Cukup dalam Mengidentifikasi berbagai bentuk keberagaman suku bangsa, sosial, dan budaya di Indonesia yang terikat persatuan da</v>
          </cell>
        </row>
        <row r="48">
          <cell r="B48">
            <v>45</v>
          </cell>
          <cell r="C48" t="str">
            <v>RIZKI INTAN KURNIAENDAH</v>
          </cell>
          <cell r="D48">
            <v>79.791666666666671</v>
          </cell>
          <cell r="E48" t="str">
            <v>B</v>
          </cell>
          <cell r="F48" t="str">
            <v>Ananda Rizki Intan Kurniaendah baik dalam Menjelaskan manfaat keberagaman karakteristik individu dalam kehidupan sehari-hari..  Cukup dalam Mengidentifikasi berbagai bentuk keberagaman suku bangsa, sosial, dan budaya di Indonesia yang terikat persatuan da</v>
          </cell>
        </row>
        <row r="49">
          <cell r="B49">
            <v>46</v>
          </cell>
          <cell r="C49" t="str">
            <v>RIZKY FIRMANSYAH</v>
          </cell>
          <cell r="D49">
            <v>79.791666666666671</v>
          </cell>
          <cell r="E49" t="str">
            <v>B</v>
          </cell>
          <cell r="F49" t="str">
            <v>Ananda Rizky Firmansyah baik dalam Menjelaskan manfaat keberagaman karakteristik individu dalam kehidupan sehari-hari..  Cukup dalam Mengidentifikasi berbagai bentuk keberagaman suku bangsa, sosial, dan budaya di Indonesia yang terikat persatuan dan kesat</v>
          </cell>
        </row>
        <row r="50">
          <cell r="B50">
            <v>47</v>
          </cell>
          <cell r="C50" t="str">
            <v>SAFIRA NUR LAYLA RAMADHANI</v>
          </cell>
          <cell r="D50">
            <v>79.791666666666671</v>
          </cell>
          <cell r="E50" t="str">
            <v>B</v>
          </cell>
          <cell r="F50" t="str">
            <v>Ananda Safira Nur Layla Ramadhani baik dalam Menjelaskan manfaat keberagaman karakteristik individu dalam kehidupan sehari-hari..  Cukup dalam Mengidentifikasi berbagai bentuk keberagaman suku bangsa, sosial, dan budaya di Indonesia yang terikat persatuan</v>
          </cell>
        </row>
        <row r="51">
          <cell r="B51">
            <v>48</v>
          </cell>
          <cell r="C51" t="str">
            <v>SHANASTRI RUFAIDA</v>
          </cell>
          <cell r="D51">
            <v>79.791666666666671</v>
          </cell>
          <cell r="E51" t="str">
            <v>B</v>
          </cell>
          <cell r="F51" t="str">
            <v>Ananda Shanastri Rufaida baik dalam Menjelaskan manfaat keberagaman karakteristik individu dalam kehidupan sehari-hari..  Cukup dalam Mengidentifikasi berbagai bentuk keberagaman suku bangsa, sosial, dan budaya di Indonesia yang terikat persatuan dan kesa</v>
          </cell>
        </row>
        <row r="52">
          <cell r="B52">
            <v>49</v>
          </cell>
          <cell r="C52" t="str">
            <v>SHIAM SAHARA</v>
          </cell>
          <cell r="D52">
            <v>79.791666666666671</v>
          </cell>
          <cell r="E52" t="str">
            <v>B</v>
          </cell>
          <cell r="F52" t="str">
            <v>Ananda Shiam Sahara baik dalam Menjelaskan manfaat keberagaman karakteristik individu dalam kehidupan sehari-hari..  Cukup dalam Mengidentifikasi berbagai bentuk keberagaman suku bangsa, sosial, dan budaya di Indonesia yang terikat persatuan dan kesatuan.</v>
          </cell>
        </row>
        <row r="53">
          <cell r="B53">
            <v>50</v>
          </cell>
          <cell r="C53" t="str">
            <v>SUSAN APRILIA PUTRI</v>
          </cell>
          <cell r="D53">
            <v>79.791666666666671</v>
          </cell>
          <cell r="E53" t="str">
            <v>B</v>
          </cell>
          <cell r="F53" t="str">
            <v>Ananda Susan Aprilia Putri baik dalam Menjelaskan manfaat keberagaman karakteristik individu dalam kehidupan sehari-hari..  Cukup dalam Mengidentifikasi berbagai bentuk keberagaman suku bangsa, sosial, dan budaya di Indonesia yang terikat persatuan dan ke</v>
          </cell>
        </row>
      </sheetData>
      <sheetData sheetId="19"/>
      <sheetData sheetId="20">
        <row r="4">
          <cell r="B4">
            <v>1</v>
          </cell>
          <cell r="C4" t="str">
            <v>AZKA AFINA KHOIRUL IZA</v>
          </cell>
          <cell r="D4">
            <v>79.791666666666671</v>
          </cell>
          <cell r="E4" t="str">
            <v>B</v>
          </cell>
          <cell r="F4" t="str">
            <v>Ananda Azka Afina Khoirul Iza baik dalam Mengidentifikasi kegiatan ekonomi dan hubungannya dengan berbagai bidang pekerjaan, serta kehidupan sosial dan budaya di lingkungan sekitar sampai provinsi..  Cukup dalam Mengidentifikasi kerajaan Hindu dan/atau Bu</v>
          </cell>
        </row>
        <row r="5">
          <cell r="B5">
            <v>2</v>
          </cell>
          <cell r="C5" t="str">
            <v>BAGUS WIDA KANAKA</v>
          </cell>
          <cell r="D5">
            <v>79.791666666666671</v>
          </cell>
          <cell r="E5" t="str">
            <v>B</v>
          </cell>
          <cell r="F5"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6">
          <cell r="B6">
            <v>3</v>
          </cell>
          <cell r="C6" t="str">
            <v>DENI FIRYA ATHALLAH PRADINAYA</v>
          </cell>
          <cell r="D6">
            <v>79.791666666666671</v>
          </cell>
          <cell r="E6" t="str">
            <v>B</v>
          </cell>
          <cell r="F6" t="str">
            <v>Ananda Deni Firya Athallah Pradinaya Baik dalam Mengidentifikasi kegiatan ekonomi dan hubungannya dengan berbagai bidang pekerjaan, serta kehidupan sosial dan budaya di lingkungan sekitar sampai provinsi..  Baik dalam Mengidentifikasi kerajaan Hindu dan/a</v>
          </cell>
        </row>
        <row r="7">
          <cell r="B7">
            <v>4</v>
          </cell>
          <cell r="C7" t="str">
            <v>DEWI GALUH MULANSARI</v>
          </cell>
          <cell r="D7">
            <v>79.791666666666671</v>
          </cell>
          <cell r="E7" t="str">
            <v>B</v>
          </cell>
          <cell r="F7" t="str">
            <v>Ananda Dewi Galuh Mulansari baik dalam Mengidentifikasi kegiatan ekonomi dan hubungannya dengan berbagai bidang pekerjaan, serta kehidupan sosial dan budaya di lingkungan sekitar sampai provinsi..  Cukup dalam Mengidentifikasi kerajaan Hindu dan/atau Budd</v>
          </cell>
        </row>
        <row r="8">
          <cell r="B8">
            <v>5</v>
          </cell>
          <cell r="C8" t="str">
            <v>DIAN PUJI LESTARI</v>
          </cell>
          <cell r="D8">
            <v>79.791666666666671</v>
          </cell>
          <cell r="E8" t="str">
            <v>B</v>
          </cell>
          <cell r="F8"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9">
          <cell r="B9">
            <v>6</v>
          </cell>
          <cell r="C9" t="str">
            <v>Hafidz Langgeng Prasetyo</v>
          </cell>
          <cell r="D9">
            <v>79.791666666666671</v>
          </cell>
          <cell r="E9" t="str">
            <v>B</v>
          </cell>
          <cell r="F9"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10">
          <cell r="B10">
            <v>7</v>
          </cell>
          <cell r="C10" t="str">
            <v>JALU ARTHA AJI MANGGALA HANDOKO</v>
          </cell>
          <cell r="D10">
            <v>79.791666666666671</v>
          </cell>
          <cell r="E10" t="str">
            <v>B</v>
          </cell>
          <cell r="F10" t="str">
            <v>Ananda Jalu Artha Aji Manggala Handoko baik dalam Mengidentifikasi kegiatan ekonomi dan hubungannya dengan berbagai bidang pekerjaan, serta kehidupan sosial dan budaya di lingkungan sekitar sampai provinsi..  Cukup dalam Mengidentifikasi kerajaan Hindu da</v>
          </cell>
        </row>
        <row r="11">
          <cell r="B11">
            <v>8</v>
          </cell>
          <cell r="C11" t="str">
            <v>LAURENDHO RADIEFCA MURDIONO</v>
          </cell>
          <cell r="D11">
            <v>79.791666666666671</v>
          </cell>
          <cell r="E11" t="str">
            <v>B</v>
          </cell>
          <cell r="F11" t="str">
            <v>Ananda Laurendho Radiefca Murdiono baik dalam Mengidentifikasi kegiatan ekonomi dan hubungannya dengan berbagai bidang pekerjaan, serta kehidupan sosial dan budaya di lingkungan sekitar sampai provinsi..  Cukup dalam Mengidentifikasi kerajaan Hindu dan/at</v>
          </cell>
        </row>
        <row r="12">
          <cell r="B12">
            <v>9</v>
          </cell>
          <cell r="C12" t="str">
            <v>MARSYA MAYDINA DWI RISQITA</v>
          </cell>
          <cell r="D12">
            <v>79.791666666666671</v>
          </cell>
          <cell r="E12" t="str">
            <v>B</v>
          </cell>
          <cell r="F12" t="str">
            <v>Ananda Marsya Maydina Dwi Risqita baik dalam Mengidentifikasi kegiatan ekonomi dan hubungannya dengan berbagai bidang pekerjaan, serta kehidupan sosial dan budaya di lingkungan sekitar sampai provinsi..  Cukup dalam Mengidentifikasi kerajaan Hindu dan/ata</v>
          </cell>
        </row>
        <row r="13">
          <cell r="B13">
            <v>10</v>
          </cell>
          <cell r="C13" t="str">
            <v>MILA SARASWATI</v>
          </cell>
          <cell r="D13">
            <v>79.791666666666671</v>
          </cell>
          <cell r="E13" t="str">
            <v>B</v>
          </cell>
          <cell r="F13" t="str">
            <v>Ananda Mila Saraswati baik dalam Mengidentifikasi kegiatan ekonomi dan hubungannya dengan berbagai bidang pekerjaan, serta kehidupan sosial dan budaya di lingkungan sekitar sampai provinsi..  Cukup dalam Mengidentifikasi kerajaan Hindu dan/atau Buddha dan</v>
          </cell>
        </row>
        <row r="14">
          <cell r="B14">
            <v>11</v>
          </cell>
          <cell r="C14" t="str">
            <v>MUHAMMAD ARKAN ALLY RACHMAD</v>
          </cell>
          <cell r="D14">
            <v>79.791666666666671</v>
          </cell>
          <cell r="E14" t="str">
            <v>B</v>
          </cell>
          <cell r="F14" t="str">
            <v>Ananda Muhammad Arkan Ally Rachmad baik dalam Mengidentifikasi kegiatan ekonomi dan hubungannya dengan berbagai bidang pekerjaan, serta kehidupan sosial dan budaya di lingkungan sekitar sampai provinsi..  Cukup dalam Mengidentifikasi kerajaan Hindu dan/at</v>
          </cell>
        </row>
        <row r="15">
          <cell r="B15">
            <v>12</v>
          </cell>
          <cell r="C15" t="str">
            <v>MUHAMMAD REVIAN ABDULLOH FAQIH</v>
          </cell>
          <cell r="D15">
            <v>79.791666666666671</v>
          </cell>
          <cell r="E15" t="str">
            <v>B</v>
          </cell>
          <cell r="F15" t="str">
            <v>Ananda Muhammad Revian Abdulloh Faqih baik dalam Mengidentifikasi kegiatan ekonomi dan hubungannya dengan berbagai bidang pekerjaan, serta kehidupan sosial dan budaya di lingkungan sekitar sampai provinsi..  Cukup dalam Mengidentifikasi kerajaan Hindu dan</v>
          </cell>
        </row>
        <row r="16">
          <cell r="B16">
            <v>13</v>
          </cell>
          <cell r="C16" t="str">
            <v>NABILA AYUNINGTIAS</v>
          </cell>
          <cell r="D16">
            <v>79.791666666666671</v>
          </cell>
          <cell r="E16" t="str">
            <v>B</v>
          </cell>
          <cell r="F16" t="str">
            <v>Ananda Nabila Ayuningtias baik dalam Mengidentifikasi kegiatan ekonomi dan hubungannya dengan berbagai bidang pekerjaan, serta kehidupan sosial dan budaya di lingkungan sekitar sampai provinsi..  Cukup dalam Mengidentifikasi kerajaan Hindu dan/atau Buddha</v>
          </cell>
        </row>
        <row r="17">
          <cell r="B17">
            <v>14</v>
          </cell>
          <cell r="C17" t="str">
            <v>NARESWARI MASAYU PUSPANINGRUM</v>
          </cell>
          <cell r="D17">
            <v>79.791666666666671</v>
          </cell>
          <cell r="E17" t="str">
            <v>B</v>
          </cell>
          <cell r="F17" t="str">
            <v>Ananda Nareswari Masayu Puspaningrum baik dalam Mengidentifikasi kegiatan ekonomi dan hubungannya dengan berbagai bidang pekerjaan, serta kehidupan sosial dan budaya di lingkungan sekitar sampai provinsi..  Cukup dalam Mengidentifikasi kerajaan Hindu dan/</v>
          </cell>
        </row>
        <row r="18">
          <cell r="B18">
            <v>15</v>
          </cell>
          <cell r="C18" t="str">
            <v>NOVA SASMYTA</v>
          </cell>
          <cell r="D18">
            <v>79.791666666666671</v>
          </cell>
          <cell r="E18" t="str">
            <v>B</v>
          </cell>
          <cell r="F18" t="str">
            <v>Ananda Nova Sasmyta baik dalam Mengidentifikasi kegiatan ekonomi dan hubungannya dengan berbagai bidang pekerjaan, serta kehidupan sosial dan budaya di lingkungan sekitar sampai provinsi..  Cukup dalam Mengidentifikasi kerajaan Hindu dan/atau Buddha dan/a</v>
          </cell>
        </row>
        <row r="19">
          <cell r="B19">
            <v>16</v>
          </cell>
          <cell r="C19" t="str">
            <v>RIDHA RAHMATUL AULA RIDWAN</v>
          </cell>
          <cell r="D19">
            <v>79.791666666666671</v>
          </cell>
          <cell r="E19" t="str">
            <v>B</v>
          </cell>
          <cell r="F19" t="str">
            <v>Ananda Ridha Rahmatul Aula Ridwan baik dalam Mengidentifikasi kegiatan ekonomi dan hubungannya dengan berbagai bidang pekerjaan, serta kehidupan sosial dan budaya di lingkungan sekitar sampai provinsi..  Cukup dalam Mengidentifikasi kerajaan Hindu dan/ata</v>
          </cell>
        </row>
        <row r="20">
          <cell r="B20">
            <v>17</v>
          </cell>
          <cell r="C20" t="str">
            <v>RIFDA SALSABILA PURNAMA</v>
          </cell>
          <cell r="D20">
            <v>79.791666666666671</v>
          </cell>
          <cell r="E20" t="str">
            <v>B</v>
          </cell>
          <cell r="F20" t="str">
            <v>Ananda Rifda Salsabila Purnama baik dalam Mengidentifikasi kegiatan ekonomi dan hubungannya dengan berbagai bidang pekerjaan, serta kehidupan sosial dan budaya di lingkungan sekitar sampai provinsi..  Cukup dalam Mengidentifikasi kerajaan Hindu dan/atau B</v>
          </cell>
        </row>
        <row r="21">
          <cell r="B21">
            <v>18</v>
          </cell>
          <cell r="C21" t="str">
            <v>RIZKI INTAN KURNIAENDAH</v>
          </cell>
          <cell r="D21">
            <v>79.791666666666671</v>
          </cell>
          <cell r="E21" t="str">
            <v>B</v>
          </cell>
          <cell r="F21" t="str">
            <v>Ananda Rizki Intan Kurniaendah baik dalam Mengidentifikasi kegiatan ekonomi dan hubungannya dengan berbagai bidang pekerjaan, serta kehidupan sosial dan budaya di lingkungan sekitar sampai provinsi..  Cukup dalam Mengidentifikasi kerajaan Hindu dan/atau B</v>
          </cell>
        </row>
        <row r="22">
          <cell r="B22">
            <v>19</v>
          </cell>
          <cell r="C22" t="str">
            <v>RIZKY FIRMANSYAH</v>
          </cell>
          <cell r="D22">
            <v>79.791666666666671</v>
          </cell>
          <cell r="E22" t="str">
            <v>B</v>
          </cell>
          <cell r="F22" t="str">
            <v>Ananda Rizky Firmansyah baik dalam Mengidentifikasi kegiatan ekonomi dan hubungannya dengan berbagai bidang pekerjaan, serta kehidupan sosial dan budaya di lingkungan sekitar sampai provinsi..  Cukup dalam Mengidentifikasi kerajaan Hindu dan/atau Buddha d</v>
          </cell>
        </row>
        <row r="23">
          <cell r="B23">
            <v>20</v>
          </cell>
          <cell r="C23" t="str">
            <v>SAFIRA NUR LAYLA RAMADHANI</v>
          </cell>
          <cell r="D23">
            <v>79.791666666666671</v>
          </cell>
          <cell r="E23" t="str">
            <v>B</v>
          </cell>
          <cell r="F23" t="str">
            <v>Ananda Safira Nur Layla Ramadhani baik dalam Mengidentifikasi kegiatan ekonomi dan hubungannya dengan berbagai bidang pekerjaan, serta kehidupan sosial dan budaya di lingkungan sekitar sampai provinsi..  Cukup dalam Mengidentifikasi kerajaan Hindu dan/ata</v>
          </cell>
        </row>
        <row r="24">
          <cell r="B24">
            <v>21</v>
          </cell>
          <cell r="C24" t="str">
            <v>SHANASTRI RUFAIDA</v>
          </cell>
          <cell r="D24">
            <v>79.791666666666671</v>
          </cell>
          <cell r="E24" t="str">
            <v>B</v>
          </cell>
          <cell r="F24"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25">
          <cell r="B25">
            <v>22</v>
          </cell>
          <cell r="C25" t="str">
            <v>SHIAM SAHARA</v>
          </cell>
          <cell r="D25">
            <v>79.791666666666671</v>
          </cell>
          <cell r="E25" t="str">
            <v>B</v>
          </cell>
          <cell r="F25" t="str">
            <v>Ananda Shiam Sahara baik dalam Mengidentifikasi kegiatan ekonomi dan hubungannya dengan berbagai bidang pekerjaan, serta kehidupan sosial dan budaya di lingkungan sekitar sampai provinsi..  Cukup dalam Mengidentifikasi kerajaan Hindu dan/atau Buddha dan/a</v>
          </cell>
        </row>
        <row r="26">
          <cell r="B26">
            <v>23</v>
          </cell>
          <cell r="C26" t="str">
            <v>SUSAN APRILIA PUTRI</v>
          </cell>
          <cell r="D26">
            <v>79.791666666666671</v>
          </cell>
          <cell r="E26" t="str">
            <v>B</v>
          </cell>
          <cell r="F26" t="str">
            <v>Ananda Susan Aprilia Putri baik dalam Mengidentifikasi kegiatan ekonomi dan hubungannya dengan berbagai bidang pekerjaan, serta kehidupan sosial dan budaya di lingkungan sekitar sampai provinsi..  Cukup dalam Mengidentifikasi kerajaan Hindu dan/atau Buddh</v>
          </cell>
        </row>
        <row r="27">
          <cell r="B27">
            <v>24</v>
          </cell>
          <cell r="C27" t="str">
            <v>SYIFAUL CHUSNA BANATU ROHMI HADI</v>
          </cell>
          <cell r="D27">
            <v>79.791666666666671</v>
          </cell>
          <cell r="E27" t="str">
            <v>B</v>
          </cell>
          <cell r="F27" t="str">
            <v>Ananda Syifaul Chusna Banatu Rohmi Hadi baik dalam Mengidentifikasi kegiatan ekonomi dan hubungannya dengan berbagai bidang pekerjaan, serta kehidupan sosial dan budaya di lingkungan sekitar sampai provinsi..  Cukup dalam Mengidentifikasi kerajaan Hindu d</v>
          </cell>
        </row>
        <row r="28">
          <cell r="B28">
            <v>25</v>
          </cell>
          <cell r="C28" t="str">
            <v>VANESSA VICKY AYU LESTARI</v>
          </cell>
          <cell r="D28">
            <v>79.791666666666671</v>
          </cell>
          <cell r="E28" t="str">
            <v>B</v>
          </cell>
          <cell r="F28" t="str">
            <v>Ananda Vanessa Vicky Ayu Lestari baik dalam Mengidentifikasi kegiatan ekonomi dan hubungannya dengan berbagai bidang pekerjaan, serta kehidupan sosial dan budaya di lingkungan sekitar sampai provinsi..  Cukup dalam Mengidentifikasi kerajaan Hindu dan/atau</v>
          </cell>
        </row>
        <row r="29">
          <cell r="B29">
            <v>26</v>
          </cell>
          <cell r="C29" t="str">
            <v>WIBI NUR FIRMANSYAH</v>
          </cell>
          <cell r="D29">
            <v>79.791666666666671</v>
          </cell>
          <cell r="E29" t="str">
            <v>B</v>
          </cell>
          <cell r="F29" t="str">
            <v>Ananda Wibi Nur Firmansyah baik dalam Mengidentifikasi kegiatan ekonomi dan hubungannya dengan berbagai bidang pekerjaan, serta kehidupan sosial dan budaya di lingkungan sekitar sampai provinsi..  Cukup dalam Mengidentifikasi kerajaan Hindu dan/atau Buddh</v>
          </cell>
        </row>
        <row r="30">
          <cell r="B30">
            <v>27</v>
          </cell>
          <cell r="C30" t="str">
            <v>ZULFIDA NURUL MAZIDAH</v>
          </cell>
          <cell r="D30">
            <v>79.791666666666671</v>
          </cell>
          <cell r="E30" t="str">
            <v>B</v>
          </cell>
          <cell r="F30" t="str">
            <v>Ananda Zulfida Nurul Mazidah baik dalam Mengidentifikasi kegiatan ekonomi dan hubungannya dengan berbagai bidang pekerjaan, serta kehidupan sosial dan budaya di lingkungan sekitar sampai provinsi..  Cukup dalam Mengidentifikasi kerajaan Hindu dan/atau Bud</v>
          </cell>
        </row>
        <row r="31">
          <cell r="B31">
            <v>28</v>
          </cell>
          <cell r="C31" t="str">
            <v>AZKA AFINA KHOIRUL IZA</v>
          </cell>
          <cell r="D31">
            <v>79.791666666666671</v>
          </cell>
          <cell r="E31" t="str">
            <v>B</v>
          </cell>
          <cell r="F31" t="str">
            <v>Ananda Azka Afina Khoirul Iza baik dalam Mengidentifikasi kegiatan ekonomi dan hubungannya dengan berbagai bidang pekerjaan, serta kehidupan sosial dan budaya di lingkungan sekitar sampai provinsi..  Cukup dalam Mengidentifikasi kerajaan Hindu dan/atau Bu</v>
          </cell>
        </row>
        <row r="32">
          <cell r="B32">
            <v>29</v>
          </cell>
          <cell r="C32" t="str">
            <v>BAGUS WIDA KANAKA</v>
          </cell>
          <cell r="D32">
            <v>79.791666666666671</v>
          </cell>
          <cell r="E32" t="str">
            <v>B</v>
          </cell>
          <cell r="F32"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33">
          <cell r="B33">
            <v>30</v>
          </cell>
          <cell r="C33" t="str">
            <v>DENI FIRYA ATHALLAH PRADINAYA</v>
          </cell>
          <cell r="D33">
            <v>79.791666666666671</v>
          </cell>
          <cell r="E33" t="str">
            <v>B</v>
          </cell>
          <cell r="F33" t="str">
            <v>Ananda Deni Firya Athallah Pradinaya baik dalam Mengidentifikasi kegiatan ekonomi dan hubungannya dengan berbagai bidang pekerjaan, serta kehidupan sosial dan budaya di lingkungan sekitar sampai provinsi..  Cukup dalam Mengidentifikasi kerajaan Hindu dan/</v>
          </cell>
        </row>
        <row r="34">
          <cell r="B34">
            <v>31</v>
          </cell>
          <cell r="C34" t="str">
            <v>DEWI GALUH MULANSARI</v>
          </cell>
          <cell r="D34">
            <v>79.791666666666671</v>
          </cell>
          <cell r="E34" t="str">
            <v>B</v>
          </cell>
          <cell r="F34" t="str">
            <v>Ananda Dewi Galuh Mulansari baik dalam Mengidentifikasi kegiatan ekonomi dan hubungannya dengan berbagai bidang pekerjaan, serta kehidupan sosial dan budaya di lingkungan sekitar sampai provinsi..  Cukup dalam Mengidentifikasi kerajaan Hindu dan/atau Budd</v>
          </cell>
        </row>
        <row r="35">
          <cell r="B35">
            <v>32</v>
          </cell>
          <cell r="C35" t="str">
            <v>DIAN PUJI LESTARI</v>
          </cell>
          <cell r="D35">
            <v>79.791666666666671</v>
          </cell>
          <cell r="E35" t="str">
            <v>B</v>
          </cell>
          <cell r="F35"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36">
          <cell r="B36">
            <v>33</v>
          </cell>
          <cell r="C36" t="str">
            <v>Hafidz Langgeng Prasetyo</v>
          </cell>
          <cell r="D36">
            <v>79.791666666666671</v>
          </cell>
          <cell r="E36" t="str">
            <v>B</v>
          </cell>
          <cell r="F36"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37">
          <cell r="B37">
            <v>34</v>
          </cell>
          <cell r="C37" t="str">
            <v>JALU ARTHA AJI MANGGALA HANDOKO</v>
          </cell>
          <cell r="D37">
            <v>79.791666666666671</v>
          </cell>
          <cell r="E37" t="str">
            <v>B</v>
          </cell>
          <cell r="F37" t="str">
            <v>Ananda Jalu Artha Aji Manggala Handoko baik dalam Mengidentifikasi kegiatan ekonomi dan hubungannya dengan berbagai bidang pekerjaan, serta kehidupan sosial dan budaya di lingkungan sekitar sampai provinsi..  Cukup dalam Mengidentifikasi kerajaan Hindu da</v>
          </cell>
        </row>
        <row r="38">
          <cell r="B38">
            <v>35</v>
          </cell>
          <cell r="C38" t="str">
            <v>LAURENDHO RADIEFCA MURDIONO</v>
          </cell>
          <cell r="D38">
            <v>79.791666666666671</v>
          </cell>
          <cell r="E38" t="str">
            <v>B</v>
          </cell>
          <cell r="F38" t="str">
            <v>Ananda Laurendho Radiefca Murdiono baik dalam Mengidentifikasi kegiatan ekonomi dan hubungannya dengan berbagai bidang pekerjaan, serta kehidupan sosial dan budaya di lingkungan sekitar sampai provinsi..  Cukup dalam Mengidentifikasi kerajaan Hindu dan/at</v>
          </cell>
        </row>
        <row r="39">
          <cell r="B39">
            <v>36</v>
          </cell>
          <cell r="C39" t="str">
            <v>MARSYA MAYDINA DWI RISQITA</v>
          </cell>
          <cell r="D39">
            <v>79.791666666666671</v>
          </cell>
          <cell r="E39" t="str">
            <v>B</v>
          </cell>
          <cell r="F39" t="str">
            <v>Ananda Marsya Maydina Dwi Risqita baik dalam Mengidentifikasi kegiatan ekonomi dan hubungannya dengan berbagai bidang pekerjaan, serta kehidupan sosial dan budaya di lingkungan sekitar sampai provinsi..  Cukup dalam Mengidentifikasi kerajaan Hindu dan/ata</v>
          </cell>
        </row>
        <row r="40">
          <cell r="B40">
            <v>37</v>
          </cell>
          <cell r="C40" t="str">
            <v>MILA SARASWATI</v>
          </cell>
          <cell r="D40">
            <v>79.791666666666671</v>
          </cell>
          <cell r="E40" t="str">
            <v>B</v>
          </cell>
          <cell r="F40" t="str">
            <v>Ananda Mila Saraswati baik dalam Mengidentifikasi kegiatan ekonomi dan hubungannya dengan berbagai bidang pekerjaan, serta kehidupan sosial dan budaya di lingkungan sekitar sampai provinsi..  Cukup dalam Mengidentifikasi kerajaan Hindu dan/atau Buddha dan</v>
          </cell>
        </row>
        <row r="41">
          <cell r="B41">
            <v>38</v>
          </cell>
          <cell r="C41" t="str">
            <v>MUHAMMAD ARKAN ALLY RACHMAD</v>
          </cell>
          <cell r="D41">
            <v>79.791666666666671</v>
          </cell>
          <cell r="E41" t="str">
            <v>B</v>
          </cell>
          <cell r="F41" t="str">
            <v>Ananda Muhammad Arkan Ally Rachmad baik dalam Mengidentifikasi kegiatan ekonomi dan hubungannya dengan berbagai bidang pekerjaan, serta kehidupan sosial dan budaya di lingkungan sekitar sampai provinsi..  Cukup dalam Mengidentifikasi kerajaan Hindu dan/at</v>
          </cell>
        </row>
        <row r="42">
          <cell r="B42">
            <v>39</v>
          </cell>
          <cell r="C42" t="str">
            <v>MUHAMMAD REVIAN ABDULLOH FAQIH</v>
          </cell>
          <cell r="D42">
            <v>79.791666666666671</v>
          </cell>
          <cell r="E42" t="str">
            <v>B</v>
          </cell>
          <cell r="F42" t="str">
            <v>Ananda Muhammad Revian Abdulloh Faqih baik dalam Mengidentifikasi kegiatan ekonomi dan hubungannya dengan berbagai bidang pekerjaan, serta kehidupan sosial dan budaya di lingkungan sekitar sampai provinsi..  Cukup dalam Mengidentifikasi kerajaan Hindu dan</v>
          </cell>
        </row>
        <row r="43">
          <cell r="B43">
            <v>40</v>
          </cell>
          <cell r="C43" t="str">
            <v>NABILA AYUNINGTIAS</v>
          </cell>
          <cell r="D43">
            <v>79.791666666666671</v>
          </cell>
          <cell r="E43" t="str">
            <v>B</v>
          </cell>
          <cell r="F43" t="str">
            <v>Ananda Nabila Ayuningtias baik dalam Mengidentifikasi kegiatan ekonomi dan hubungannya dengan berbagai bidang pekerjaan, serta kehidupan sosial dan budaya di lingkungan sekitar sampai provinsi..  Cukup dalam Mengidentifikasi kerajaan Hindu dan/atau Buddha</v>
          </cell>
        </row>
        <row r="44">
          <cell r="B44">
            <v>41</v>
          </cell>
          <cell r="C44" t="str">
            <v>NARESWARI MASAYU PUSPANINGRUM</v>
          </cell>
          <cell r="D44">
            <v>79.791666666666671</v>
          </cell>
          <cell r="E44" t="str">
            <v>B</v>
          </cell>
          <cell r="F44" t="str">
            <v>Ananda Nareswari Masayu Puspaningrum baik dalam Mengidentifikasi kegiatan ekonomi dan hubungannya dengan berbagai bidang pekerjaan, serta kehidupan sosial dan budaya di lingkungan sekitar sampai provinsi..  Cukup dalam Mengidentifikasi kerajaan Hindu dan/</v>
          </cell>
        </row>
        <row r="45">
          <cell r="B45">
            <v>42</v>
          </cell>
          <cell r="C45" t="str">
            <v>NOVA SASMYTA</v>
          </cell>
          <cell r="D45">
            <v>79.791666666666671</v>
          </cell>
          <cell r="E45" t="str">
            <v>B</v>
          </cell>
          <cell r="F45" t="str">
            <v>Ananda Nova Sasmyta baik dalam Mengidentifikasi kegiatan ekonomi dan hubungannya dengan berbagai bidang pekerjaan, serta kehidupan sosial dan budaya di lingkungan sekitar sampai provinsi..  Cukup dalam Mengidentifikasi kerajaan Hindu dan/atau Buddha dan/a</v>
          </cell>
        </row>
        <row r="46">
          <cell r="B46">
            <v>43</v>
          </cell>
          <cell r="C46" t="str">
            <v>RIDHA RAHMATUL AULA RIDWAN</v>
          </cell>
          <cell r="D46">
            <v>79.791666666666671</v>
          </cell>
          <cell r="E46" t="str">
            <v>B</v>
          </cell>
          <cell r="F46" t="str">
            <v>Ananda Ridha Rahmatul Aula Ridwan baik dalam Mengidentifikasi kegiatan ekonomi dan hubungannya dengan berbagai bidang pekerjaan, serta kehidupan sosial dan budaya di lingkungan sekitar sampai provinsi..  Cukup dalam Mengidentifikasi kerajaan Hindu dan/ata</v>
          </cell>
        </row>
        <row r="47">
          <cell r="B47">
            <v>44</v>
          </cell>
          <cell r="C47" t="str">
            <v>RIFDA SALSABILA PURNAMA</v>
          </cell>
          <cell r="D47">
            <v>79.791666666666671</v>
          </cell>
          <cell r="E47" t="str">
            <v>B</v>
          </cell>
          <cell r="F47" t="str">
            <v>Ananda Rifda Salsabila Purnama baik dalam Mengidentifikasi kegiatan ekonomi dan hubungannya dengan berbagai bidang pekerjaan, serta kehidupan sosial dan budaya di lingkungan sekitar sampai provinsi..  Cukup dalam Mengidentifikasi kerajaan Hindu dan/atau B</v>
          </cell>
        </row>
        <row r="48">
          <cell r="B48">
            <v>45</v>
          </cell>
          <cell r="C48" t="str">
            <v>RIZKI INTAN KURNIAENDAH</v>
          </cell>
          <cell r="D48">
            <v>79.791666666666671</v>
          </cell>
          <cell r="E48" t="str">
            <v>B</v>
          </cell>
          <cell r="F48" t="str">
            <v>Ananda Rizki Intan Kurniaendah baik dalam Mengidentifikasi kegiatan ekonomi dan hubungannya dengan berbagai bidang pekerjaan, serta kehidupan sosial dan budaya di lingkungan sekitar sampai provinsi..  Cukup dalam Mengidentifikasi kerajaan Hindu dan/atau B</v>
          </cell>
        </row>
        <row r="49">
          <cell r="B49">
            <v>46</v>
          </cell>
          <cell r="C49" t="str">
            <v>RIZKY FIRMANSYAH</v>
          </cell>
          <cell r="D49">
            <v>79.791666666666671</v>
          </cell>
          <cell r="E49" t="str">
            <v>B</v>
          </cell>
          <cell r="F49" t="str">
            <v>Ananda Rizky Firmansyah baik dalam Mengidentifikasi kegiatan ekonomi dan hubungannya dengan berbagai bidang pekerjaan, serta kehidupan sosial dan budaya di lingkungan sekitar sampai provinsi..  Cukup dalam Mengidentifikasi kerajaan Hindu dan/atau Buddha d</v>
          </cell>
        </row>
        <row r="50">
          <cell r="B50">
            <v>47</v>
          </cell>
          <cell r="C50" t="str">
            <v>SAFIRA NUR LAYLA RAMADHANI</v>
          </cell>
          <cell r="D50">
            <v>79.791666666666671</v>
          </cell>
          <cell r="E50" t="str">
            <v>B</v>
          </cell>
          <cell r="F50" t="str">
            <v>Ananda Safira Nur Layla Ramadhani baik dalam Mengidentifikasi kegiatan ekonomi dan hubungannya dengan berbagai bidang pekerjaan, serta kehidupan sosial dan budaya di lingkungan sekitar sampai provinsi..  Cukup dalam Mengidentifikasi kerajaan Hindu dan/ata</v>
          </cell>
        </row>
        <row r="51">
          <cell r="B51">
            <v>48</v>
          </cell>
          <cell r="C51" t="str">
            <v>SHANASTRI RUFAIDA</v>
          </cell>
          <cell r="D51">
            <v>79.791666666666671</v>
          </cell>
          <cell r="E51" t="str">
            <v>B</v>
          </cell>
          <cell r="F51"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52">
          <cell r="B52">
            <v>49</v>
          </cell>
          <cell r="C52" t="str">
            <v>SHIAM SAHARA</v>
          </cell>
          <cell r="D52">
            <v>79.791666666666671</v>
          </cell>
          <cell r="E52" t="str">
            <v>B</v>
          </cell>
          <cell r="F52" t="str">
            <v>Ananda Shiam Sahara baik dalam Mengidentifikasi kegiatan ekonomi dan hubungannya dengan berbagai bidang pekerjaan, serta kehidupan sosial dan budaya di lingkungan sekitar sampai provinsi..  Cukup dalam Mengidentifikasi kerajaan Hindu dan/atau Buddha dan/a</v>
          </cell>
        </row>
        <row r="53">
          <cell r="B53">
            <v>50</v>
          </cell>
          <cell r="C53" t="str">
            <v>SUSAN APRILIA PUTRI</v>
          </cell>
          <cell r="D53">
            <v>79.791666666666671</v>
          </cell>
          <cell r="E53" t="str">
            <v>B</v>
          </cell>
          <cell r="F53" t="str">
            <v>Ananda Susan Aprilia Putri baik dalam Mengidentifikasi kegiatan ekonomi dan hubungannya dengan berbagai bidang pekerjaan, serta kehidupan sosial dan budaya di lingkungan sekitar sampai provinsi..  Cukup dalam Mengidentifikasi kerajaan Hindu dan/atau Buddh</v>
          </cell>
        </row>
      </sheetData>
      <sheetData sheetId="21"/>
      <sheetData sheetId="22">
        <row r="4">
          <cell r="B4">
            <v>1</v>
          </cell>
          <cell r="C4" t="str">
            <v>AZKA AFINA KHOIRUL IZA</v>
          </cell>
          <cell r="D4">
            <v>83.583333333333329</v>
          </cell>
          <cell r="E4" t="str">
            <v>B</v>
          </cell>
          <cell r="F4" t="str">
            <v xml:space="preserve">Ananda Azka Afina Khoirul Iza sangat baik dalam Menerapkan sifat-sifat bunyi dan keterkaitannya dengan indera pendengaran.  Perlu bimbingan dalam Menghubungkan gaya dengan gerak pada peristiwa di lingkungan sekitar. </v>
          </cell>
        </row>
        <row r="5">
          <cell r="B5">
            <v>2</v>
          </cell>
          <cell r="C5" t="str">
            <v>BAGUS WIDA KANAKA</v>
          </cell>
          <cell r="D5">
            <v>76.916666666666671</v>
          </cell>
          <cell r="E5" t="str">
            <v>C</v>
          </cell>
          <cell r="F5" t="str">
            <v xml:space="preserve">Ananda Bagus Wida Kanaka baik dalam Menerapkan sifat-sifat cahaya dan keterkaitannya dengan indera penglihatan.  Perlu bimbingan dalam Menghubungkan gaya dengan gerak pada peristiwa di lingkungan sekitar. </v>
          </cell>
        </row>
        <row r="6">
          <cell r="B6">
            <v>3</v>
          </cell>
          <cell r="C6" t="str">
            <v>DENI FIRYA ATHALLAH PRADINAYA</v>
          </cell>
          <cell r="D6">
            <v>63.916666666666664</v>
          </cell>
          <cell r="E6" t="str">
            <v>D</v>
          </cell>
          <cell r="F6" t="str">
            <v xml:space="preserve">Ananda Deni Firya Athallah Pradinaya cukup dalam Menerapkan sifat-sifat bunyi dan keterkaitannya dengan indera pendengaran.  Perlu bimbingan dalam Menghubungkan gaya dengan gerak pada peristiwa di lingkungan sekitar. </v>
          </cell>
        </row>
        <row r="7">
          <cell r="B7">
            <v>4</v>
          </cell>
          <cell r="C7" t="str">
            <v>DEWI GALUH MULANSARI</v>
          </cell>
          <cell r="D7">
            <v>83.583333333333329</v>
          </cell>
          <cell r="E7" t="str">
            <v>B</v>
          </cell>
          <cell r="F7" t="str">
            <v xml:space="preserve">Ananda Dewi Galuh Mulansari sangat baik dalam Menerapkan sifat-sifat bunyi dan keterkaitannya dengan indera pendengaran.  Perlu bimbingan dalam Menghubungkan gaya dengan gerak pada peristiwa di lingkungan sekitar. </v>
          </cell>
        </row>
        <row r="8">
          <cell r="B8">
            <v>5</v>
          </cell>
          <cell r="C8" t="str">
            <v>DIAN PUJI LESTARI</v>
          </cell>
          <cell r="D8">
            <v>83.583333333333329</v>
          </cell>
          <cell r="E8" t="str">
            <v>B</v>
          </cell>
          <cell r="F8" t="str">
            <v xml:space="preserve">Ananda Dian Puji Lestari sangat baik dalam Menerapkan sifat-sifat bunyi dan keterkaitannya dengan indera pendengaran.  Perlu bimbingan dalam Menghubungkan gaya dengan gerak pada peristiwa di lingkungan sekitar. </v>
          </cell>
        </row>
        <row r="9">
          <cell r="B9">
            <v>6</v>
          </cell>
          <cell r="C9" t="str">
            <v>Hafidz Langgeng Prasetyo</v>
          </cell>
          <cell r="D9">
            <v>83.583333333333329</v>
          </cell>
          <cell r="E9" t="str">
            <v>B</v>
          </cell>
          <cell r="F9" t="str">
            <v xml:space="preserve">Ananda Hafidz Langgeng Prasetyo sangat baik dalam Menerapkan sifat-sifat bunyi dan keterkaitannya dengan indera pendengaran.  Perlu bimbingan dalam Menghubungkan gaya dengan gerak pada peristiwa di lingkungan sekitar. </v>
          </cell>
        </row>
        <row r="10">
          <cell r="B10">
            <v>7</v>
          </cell>
          <cell r="C10" t="str">
            <v>JALU ARTHA AJI MANGGALA HANDOKO</v>
          </cell>
          <cell r="D10">
            <v>83.583333333333329</v>
          </cell>
          <cell r="E10" t="str">
            <v>B</v>
          </cell>
          <cell r="F10" t="str">
            <v xml:space="preserve">Ananda Jalu Artha Aji Manggala Handoko sangat baik dalam Menerapkan sifat-sifat bunyi dan keterkaitannya dengan indera pendengaran.  Perlu bimbingan dalam Menghubungkan gaya dengan gerak pada peristiwa di lingkungan sekitar. </v>
          </cell>
        </row>
        <row r="11">
          <cell r="B11">
            <v>8</v>
          </cell>
          <cell r="C11" t="str">
            <v>LAURENDHO RADIEFCA MURDIONO</v>
          </cell>
          <cell r="D11">
            <v>83.583333333333329</v>
          </cell>
          <cell r="E11" t="str">
            <v>B</v>
          </cell>
          <cell r="F11" t="str">
            <v xml:space="preserve">Ananda Laurendho Radiefca Murdiono sangat baik dalam Menerapkan sifat-sifat bunyi dan keterkaitannya dengan indera pendengaran.  Perlu bimbingan dalam Menghubungkan gaya dengan gerak pada peristiwa di lingkungan sekitar. </v>
          </cell>
        </row>
        <row r="12">
          <cell r="B12">
            <v>9</v>
          </cell>
          <cell r="C12" t="str">
            <v>MARSYA MAYDINA DWI RISQITA</v>
          </cell>
          <cell r="D12">
            <v>83.583333333333329</v>
          </cell>
          <cell r="E12" t="str">
            <v>B</v>
          </cell>
          <cell r="F12" t="str">
            <v xml:space="preserve">Ananda Marsya Maydina Dwi Risqita sangat baik dalam Menerapkan sifat-sifat bunyi dan keterkaitannya dengan indera pendengaran.  Perlu bimbingan dalam Menghubungkan gaya dengan gerak pada peristiwa di lingkungan sekitar. </v>
          </cell>
        </row>
        <row r="13">
          <cell r="B13">
            <v>10</v>
          </cell>
          <cell r="C13" t="str">
            <v>MILA SARASWATI</v>
          </cell>
          <cell r="D13">
            <v>83.583333333333329</v>
          </cell>
          <cell r="E13" t="str">
            <v>B</v>
          </cell>
          <cell r="F13" t="str">
            <v xml:space="preserve">Ananda Mila Saraswati sangat baik dalam Menerapkan sifat-sifat bunyi dan keterkaitannya dengan indera pendengaran.  Perlu bimbingan dalam Menghubungkan gaya dengan gerak pada peristiwa di lingkungan sekitar. </v>
          </cell>
        </row>
        <row r="14">
          <cell r="B14">
            <v>11</v>
          </cell>
          <cell r="C14" t="str">
            <v>MUHAMMAD ARKAN ALLY RACHMAD</v>
          </cell>
          <cell r="D14">
            <v>83.583333333333329</v>
          </cell>
          <cell r="E14" t="str">
            <v>B</v>
          </cell>
          <cell r="F14" t="str">
            <v xml:space="preserve">Ananda Muhammad Arkan Ally Rachmad sangat baik dalam Menerapkan sifat-sifat bunyi dan keterkaitannya dengan indera pendengaran.  Perlu bimbingan dalam Menghubungkan gaya dengan gerak pada peristiwa di lingkungan sekitar. </v>
          </cell>
        </row>
        <row r="15">
          <cell r="B15">
            <v>12</v>
          </cell>
          <cell r="C15" t="str">
            <v>MUHAMMAD REVIAN ABDULLOH FAQIH</v>
          </cell>
          <cell r="D15">
            <v>83.583333333333329</v>
          </cell>
          <cell r="E15" t="str">
            <v>B</v>
          </cell>
          <cell r="F15" t="str">
            <v xml:space="preserve">Ananda Muhammad Revian Abdulloh Faqih sangat baik dalam Menerapkan sifat-sifat bunyi dan keterkaitannya dengan indera pendengaran.  Perlu bimbingan dalam Menghubungkan gaya dengan gerak pada peristiwa di lingkungan sekitar. </v>
          </cell>
        </row>
        <row r="16">
          <cell r="B16">
            <v>13</v>
          </cell>
          <cell r="C16" t="str">
            <v>NABILA AYUNINGTIAS</v>
          </cell>
          <cell r="D16">
            <v>83.583333333333329</v>
          </cell>
          <cell r="E16" t="str">
            <v>B</v>
          </cell>
          <cell r="F16" t="str">
            <v xml:space="preserve">Ananda Nabila Ayuningtias sangat baik dalam Menerapkan sifat-sifat bunyi dan keterkaitannya dengan indera pendengaran.  Perlu bimbingan dalam Menghubungkan gaya dengan gerak pada peristiwa di lingkungan sekitar. </v>
          </cell>
        </row>
        <row r="17">
          <cell r="B17">
            <v>14</v>
          </cell>
          <cell r="C17" t="str">
            <v>NARESWARI MASAYU PUSPANINGRUM</v>
          </cell>
          <cell r="D17">
            <v>83.583333333333329</v>
          </cell>
          <cell r="E17" t="str">
            <v>B</v>
          </cell>
          <cell r="F17" t="str">
            <v xml:space="preserve">Ananda Nareswari Masayu Puspaningrum sangat baik dalam Menerapkan sifat-sifat bunyi dan keterkaitannya dengan indera pendengaran.  Perlu bimbingan dalam Menghubungkan gaya dengan gerak pada peristiwa di lingkungan sekitar. </v>
          </cell>
        </row>
        <row r="18">
          <cell r="B18">
            <v>15</v>
          </cell>
          <cell r="C18" t="str">
            <v>NOVA SASMYTA</v>
          </cell>
          <cell r="D18">
            <v>83.583333333333329</v>
          </cell>
          <cell r="E18" t="str">
            <v>B</v>
          </cell>
          <cell r="F18" t="str">
            <v xml:space="preserve">Ananda Nova Sasmyta sangat baik dalam Menerapkan sifat-sifat bunyi dan keterkaitannya dengan indera pendengaran.  Perlu bimbingan dalam Menghubungkan gaya dengan gerak pada peristiwa di lingkungan sekitar. </v>
          </cell>
        </row>
        <row r="19">
          <cell r="B19">
            <v>16</v>
          </cell>
          <cell r="C19" t="str">
            <v>RIDHA RAHMATUL AULA RIDWAN</v>
          </cell>
          <cell r="D19">
            <v>83.583333333333329</v>
          </cell>
          <cell r="E19" t="str">
            <v>B</v>
          </cell>
          <cell r="F19" t="str">
            <v xml:space="preserve">Ananda Ridha Rahmatul Aula Ridwan sangat baik dalam Menerapkan sifat-sifat bunyi dan keterkaitannya dengan indera pendengaran.  Perlu bimbingan dalam Menghubungkan gaya dengan gerak pada peristiwa di lingkungan sekitar. </v>
          </cell>
        </row>
        <row r="20">
          <cell r="B20">
            <v>17</v>
          </cell>
          <cell r="C20" t="str">
            <v>RIFDA SALSABILA PURNAMA</v>
          </cell>
          <cell r="D20">
            <v>83.583333333333329</v>
          </cell>
          <cell r="E20" t="str">
            <v>B</v>
          </cell>
          <cell r="F20" t="str">
            <v xml:space="preserve">Ananda Rifda Salsabila Purnama sangat baik dalam Menerapkan sifat-sifat bunyi dan keterkaitannya dengan indera pendengaran.  Perlu bimbingan dalam Menghubungkan gaya dengan gerak pada peristiwa di lingkungan sekitar. </v>
          </cell>
        </row>
        <row r="21">
          <cell r="B21">
            <v>18</v>
          </cell>
          <cell r="C21" t="str">
            <v>RIZKI INTAN KURNIAENDAH</v>
          </cell>
          <cell r="D21">
            <v>83.583333333333329</v>
          </cell>
          <cell r="E21" t="str">
            <v>B</v>
          </cell>
          <cell r="F21" t="str">
            <v xml:space="preserve">Ananda Rizki Intan Kurniaendah sangat baik dalam Menerapkan sifat-sifat bunyi dan keterkaitannya dengan indera pendengaran.  Perlu bimbingan dalam Menghubungkan gaya dengan gerak pada peristiwa di lingkungan sekitar. </v>
          </cell>
        </row>
        <row r="22">
          <cell r="B22">
            <v>19</v>
          </cell>
          <cell r="C22" t="str">
            <v>RIZKY FIRMANSYAH</v>
          </cell>
          <cell r="D22">
            <v>83.583333333333329</v>
          </cell>
          <cell r="E22" t="str">
            <v>B</v>
          </cell>
          <cell r="F22" t="str">
            <v xml:space="preserve">Ananda Rizky Firmansyah sangat baik dalam Menerapkan sifat-sifat bunyi dan keterkaitannya dengan indera pendengaran.  Perlu bimbingan dalam Menghubungkan gaya dengan gerak pada peristiwa di lingkungan sekitar. </v>
          </cell>
        </row>
        <row r="23">
          <cell r="B23">
            <v>20</v>
          </cell>
          <cell r="C23" t="str">
            <v>SAFIRA NUR LAYLA RAMADHANI</v>
          </cell>
          <cell r="D23">
            <v>83.583333333333329</v>
          </cell>
          <cell r="E23" t="str">
            <v>B</v>
          </cell>
          <cell r="F23" t="str">
            <v xml:space="preserve">Ananda Safira Nur Layla Ramadhani sangat baik dalam Menerapkan sifat-sifat bunyi dan keterkaitannya dengan indera pendengaran.  Perlu bimbingan dalam Menghubungkan gaya dengan gerak pada peristiwa di lingkungan sekitar. </v>
          </cell>
        </row>
        <row r="24">
          <cell r="B24">
            <v>21</v>
          </cell>
          <cell r="C24" t="str">
            <v>SHANASTRI RUFAIDA</v>
          </cell>
          <cell r="D24">
            <v>83.583333333333329</v>
          </cell>
          <cell r="E24" t="str">
            <v>B</v>
          </cell>
          <cell r="F24" t="str">
            <v xml:space="preserve">Ananda Shanastri Rufaida sangat baik dalam Menerapkan sifat-sifat bunyi dan keterkaitannya dengan indera pendengaran.  Perlu bimbingan dalam Menghubungkan gaya dengan gerak pada peristiwa di lingkungan sekitar. </v>
          </cell>
        </row>
        <row r="25">
          <cell r="B25">
            <v>22</v>
          </cell>
          <cell r="C25" t="str">
            <v>SHIAM SAHARA</v>
          </cell>
          <cell r="D25">
            <v>83.583333333333329</v>
          </cell>
          <cell r="E25" t="str">
            <v>B</v>
          </cell>
          <cell r="F25" t="str">
            <v xml:space="preserve">Ananda Shiam Sahara sangat baik dalam Menerapkan sifat-sifat bunyi dan keterkaitannya dengan indera pendengaran.  Perlu bimbingan dalam Menghubungkan gaya dengan gerak pada peristiwa di lingkungan sekitar. </v>
          </cell>
        </row>
        <row r="26">
          <cell r="B26">
            <v>23</v>
          </cell>
          <cell r="C26" t="str">
            <v>SUSAN APRILIA PUTRI</v>
          </cell>
          <cell r="D26">
            <v>83.583333333333329</v>
          </cell>
          <cell r="E26" t="str">
            <v>B</v>
          </cell>
          <cell r="F26" t="str">
            <v xml:space="preserve">Ananda Susan Aprilia Putri sangat baik dalam Menerapkan sifat-sifat bunyi dan keterkaitannya dengan indera pendengaran.  Perlu bimbingan dalam Menghubungkan gaya dengan gerak pada peristiwa di lingkungan sekitar. </v>
          </cell>
        </row>
        <row r="27">
          <cell r="B27">
            <v>24</v>
          </cell>
          <cell r="C27" t="str">
            <v>SYIFAUL CHUSNA BANATU ROHMI HADI</v>
          </cell>
          <cell r="D27">
            <v>83.583333333333329</v>
          </cell>
          <cell r="E27" t="str">
            <v>B</v>
          </cell>
          <cell r="F27" t="str">
            <v xml:space="preserve">Ananda Syifaul Chusna Banatu Rohmi Hadi sangat baik dalam Menerapkan sifat-sifat bunyi dan keterkaitannya dengan indera pendengaran.  Perlu bimbingan dalam Menghubungkan gaya dengan gerak pada peristiwa di lingkungan sekitar. </v>
          </cell>
        </row>
        <row r="28">
          <cell r="B28">
            <v>25</v>
          </cell>
          <cell r="C28" t="str">
            <v>VANESSA VICKY AYU LESTARI</v>
          </cell>
          <cell r="D28">
            <v>83.583333333333329</v>
          </cell>
          <cell r="E28" t="str">
            <v>B</v>
          </cell>
          <cell r="F28" t="str">
            <v xml:space="preserve">Ananda Vanessa Vicky Ayu Lestari sangat baik dalam Menerapkan sifat-sifat bunyi dan keterkaitannya dengan indera pendengaran.  Perlu bimbingan dalam Menghubungkan gaya dengan gerak pada peristiwa di lingkungan sekitar. </v>
          </cell>
        </row>
        <row r="29">
          <cell r="B29">
            <v>26</v>
          </cell>
          <cell r="C29" t="str">
            <v>WIBI NUR FIRMANSYAH</v>
          </cell>
          <cell r="D29">
            <v>83.583333333333329</v>
          </cell>
          <cell r="E29" t="str">
            <v>B</v>
          </cell>
          <cell r="F29" t="str">
            <v xml:space="preserve">Ananda Wibi Nur Firmansyah sangat baik dalam Menerapkan sifat-sifat bunyi dan keterkaitannya dengan indera pendengaran.  Perlu bimbingan dalam Menghubungkan gaya dengan gerak pada peristiwa di lingkungan sekitar. </v>
          </cell>
        </row>
        <row r="30">
          <cell r="B30">
            <v>27</v>
          </cell>
          <cell r="C30" t="str">
            <v>ZULFIDA NURUL MAZIDAH</v>
          </cell>
          <cell r="D30">
            <v>83.583333333333329</v>
          </cell>
          <cell r="E30" t="str">
            <v>B</v>
          </cell>
          <cell r="F30" t="str">
            <v xml:space="preserve">Ananda Zulfida Nurul Mazidah sangat baik dalam Menerapkan sifat-sifat bunyi dan keterkaitannya dengan indera pendengaran.  Perlu bimbingan dalam Menghubungkan gaya dengan gerak pada peristiwa di lingkungan sekitar. </v>
          </cell>
        </row>
        <row r="31">
          <cell r="B31">
            <v>28</v>
          </cell>
          <cell r="C31" t="str">
            <v>AZKA AFINA KHOIRUL IZA</v>
          </cell>
          <cell r="D31">
            <v>83.583333333333329</v>
          </cell>
          <cell r="E31" t="str">
            <v>B</v>
          </cell>
          <cell r="F31" t="str">
            <v xml:space="preserve">Ananda Azka Afina Khoirul Iza sangat baik dalam Menerapkan sifat-sifat bunyi dan keterkaitannya dengan indera pendengaran.  Perlu bimbingan dalam Menghubungkan gaya dengan gerak pada peristiwa di lingkungan sekitar. </v>
          </cell>
        </row>
        <row r="32">
          <cell r="B32">
            <v>29</v>
          </cell>
          <cell r="C32" t="str">
            <v>BAGUS WIDA KANAKA</v>
          </cell>
          <cell r="D32">
            <v>83.583333333333329</v>
          </cell>
          <cell r="E32" t="str">
            <v>B</v>
          </cell>
          <cell r="F32" t="str">
            <v xml:space="preserve">Ananda Bagus Wida Kanaka sangat baik dalam Menerapkan sifat-sifat bunyi dan keterkaitannya dengan indera pendengaran.  Perlu bimbingan dalam Menghubungkan gaya dengan gerak pada peristiwa di lingkungan sekitar. </v>
          </cell>
        </row>
        <row r="33">
          <cell r="B33">
            <v>30</v>
          </cell>
          <cell r="C33" t="str">
            <v>DENI FIRYA ATHALLAH PRADINAYA</v>
          </cell>
          <cell r="D33">
            <v>83.583333333333329</v>
          </cell>
          <cell r="E33" t="str">
            <v>B</v>
          </cell>
          <cell r="F33" t="str">
            <v xml:space="preserve">Ananda Deni Firya Athallah Pradinaya sangat baik dalam Menerapkan sifat-sifat bunyi dan keterkaitannya dengan indera pendengaran.  Perlu bimbingan dalam Menghubungkan gaya dengan gerak pada peristiwa di lingkungan sekitar. </v>
          </cell>
        </row>
        <row r="34">
          <cell r="B34">
            <v>31</v>
          </cell>
          <cell r="C34" t="str">
            <v>DEWI GALUH MULANSARI</v>
          </cell>
          <cell r="D34">
            <v>83.583333333333329</v>
          </cell>
          <cell r="E34" t="str">
            <v>B</v>
          </cell>
          <cell r="F34" t="str">
            <v xml:space="preserve">Ananda Dewi Galuh Mulansari sangat baik dalam Menerapkan sifat-sifat bunyi dan keterkaitannya dengan indera pendengaran.  Perlu bimbingan dalam Menghubungkan gaya dengan gerak pada peristiwa di lingkungan sekitar. </v>
          </cell>
        </row>
        <row r="35">
          <cell r="B35">
            <v>32</v>
          </cell>
          <cell r="C35" t="str">
            <v>DIAN PUJI LESTARI</v>
          </cell>
          <cell r="D35">
            <v>83.583333333333329</v>
          </cell>
          <cell r="E35" t="str">
            <v>B</v>
          </cell>
          <cell r="F35" t="str">
            <v xml:space="preserve">Ananda Dian Puji Lestari sangat baik dalam Menerapkan sifat-sifat bunyi dan keterkaitannya dengan indera pendengaran.  Perlu bimbingan dalam Menghubungkan gaya dengan gerak pada peristiwa di lingkungan sekitar. </v>
          </cell>
        </row>
        <row r="36">
          <cell r="B36">
            <v>33</v>
          </cell>
          <cell r="C36" t="str">
            <v>Hafidz Langgeng Prasetyo</v>
          </cell>
          <cell r="D36">
            <v>83.583333333333329</v>
          </cell>
          <cell r="E36" t="str">
            <v>B</v>
          </cell>
          <cell r="F36" t="str">
            <v xml:space="preserve">Ananda Hafidz Langgeng Prasetyo sangat baik dalam Menerapkan sifat-sifat bunyi dan keterkaitannya dengan indera pendengaran.  Perlu bimbingan dalam Menghubungkan gaya dengan gerak pada peristiwa di lingkungan sekitar. </v>
          </cell>
        </row>
        <row r="37">
          <cell r="B37">
            <v>34</v>
          </cell>
          <cell r="C37" t="str">
            <v>JALU ARTHA AJI MANGGALA HANDOKO</v>
          </cell>
          <cell r="D37">
            <v>83.583333333333329</v>
          </cell>
          <cell r="E37" t="str">
            <v>B</v>
          </cell>
          <cell r="F37" t="str">
            <v xml:space="preserve">Ananda Jalu Artha Aji Manggala Handoko sangat baik dalam Menerapkan sifat-sifat bunyi dan keterkaitannya dengan indera pendengaran.  Perlu bimbingan dalam Menghubungkan gaya dengan gerak pada peristiwa di lingkungan sekitar. </v>
          </cell>
        </row>
        <row r="38">
          <cell r="B38">
            <v>35</v>
          </cell>
          <cell r="C38" t="str">
            <v>LAURENDHO RADIEFCA MURDIONO</v>
          </cell>
          <cell r="D38">
            <v>83.583333333333329</v>
          </cell>
          <cell r="E38" t="str">
            <v>B</v>
          </cell>
          <cell r="F38" t="str">
            <v xml:space="preserve">Ananda Laurendho Radiefca Murdiono sangat baik dalam Menerapkan sifat-sifat bunyi dan keterkaitannya dengan indera pendengaran.  Perlu bimbingan dalam Menghubungkan gaya dengan gerak pada peristiwa di lingkungan sekitar. </v>
          </cell>
        </row>
        <row r="39">
          <cell r="B39">
            <v>36</v>
          </cell>
          <cell r="C39" t="str">
            <v>MARSYA MAYDINA DWI RISQITA</v>
          </cell>
          <cell r="D39">
            <v>83.583333333333329</v>
          </cell>
          <cell r="E39" t="str">
            <v>B</v>
          </cell>
          <cell r="F39" t="str">
            <v xml:space="preserve">Ananda Marsya Maydina Dwi Risqita sangat baik dalam Menerapkan sifat-sifat bunyi dan keterkaitannya dengan indera pendengaran.  Perlu bimbingan dalam Menghubungkan gaya dengan gerak pada peristiwa di lingkungan sekitar. </v>
          </cell>
        </row>
        <row r="40">
          <cell r="B40">
            <v>37</v>
          </cell>
          <cell r="C40" t="str">
            <v>MILA SARASWATI</v>
          </cell>
          <cell r="D40">
            <v>83.583333333333329</v>
          </cell>
          <cell r="E40" t="str">
            <v>B</v>
          </cell>
          <cell r="F40" t="str">
            <v xml:space="preserve">Ananda Mila Saraswati sangat baik dalam Menerapkan sifat-sifat bunyi dan keterkaitannya dengan indera pendengaran.  Perlu bimbingan dalam Menghubungkan gaya dengan gerak pada peristiwa di lingkungan sekitar. </v>
          </cell>
        </row>
        <row r="41">
          <cell r="B41">
            <v>38</v>
          </cell>
          <cell r="C41" t="str">
            <v>MUHAMMAD ARKAN ALLY RACHMAD</v>
          </cell>
          <cell r="D41">
            <v>83.583333333333329</v>
          </cell>
          <cell r="E41" t="str">
            <v>B</v>
          </cell>
          <cell r="F41" t="str">
            <v xml:space="preserve">Ananda Muhammad Arkan Ally Rachmad sangat baik dalam Menerapkan sifat-sifat bunyi dan keterkaitannya dengan indera pendengaran.  Perlu bimbingan dalam Menghubungkan gaya dengan gerak pada peristiwa di lingkungan sekitar. </v>
          </cell>
        </row>
        <row r="42">
          <cell r="B42">
            <v>39</v>
          </cell>
          <cell r="C42" t="str">
            <v>MUHAMMAD REVIAN ABDULLOH FAQIH</v>
          </cell>
          <cell r="D42">
            <v>83.583333333333329</v>
          </cell>
          <cell r="E42" t="str">
            <v>B</v>
          </cell>
          <cell r="F42" t="str">
            <v xml:space="preserve">Ananda Muhammad Revian Abdulloh Faqih sangat baik dalam Menerapkan sifat-sifat bunyi dan keterkaitannya dengan indera pendengaran.  Perlu bimbingan dalam Menghubungkan gaya dengan gerak pada peristiwa di lingkungan sekitar. </v>
          </cell>
        </row>
        <row r="43">
          <cell r="B43">
            <v>40</v>
          </cell>
          <cell r="C43" t="str">
            <v>NABILA AYUNINGTIAS</v>
          </cell>
          <cell r="D43">
            <v>83.583333333333329</v>
          </cell>
          <cell r="E43" t="str">
            <v>B</v>
          </cell>
          <cell r="F43" t="str">
            <v xml:space="preserve">Ananda Nabila Ayuningtias sangat baik dalam Menerapkan sifat-sifat bunyi dan keterkaitannya dengan indera pendengaran.  Perlu bimbingan dalam Menghubungkan gaya dengan gerak pada peristiwa di lingkungan sekitar. </v>
          </cell>
        </row>
        <row r="44">
          <cell r="B44">
            <v>41</v>
          </cell>
          <cell r="C44" t="str">
            <v>NARESWARI MASAYU PUSPANINGRUM</v>
          </cell>
          <cell r="D44">
            <v>83.583333333333329</v>
          </cell>
          <cell r="E44" t="str">
            <v>B</v>
          </cell>
          <cell r="F44" t="str">
            <v xml:space="preserve">Ananda Nareswari Masayu Puspaningrum sangat baik dalam Menerapkan sifat-sifat bunyi dan keterkaitannya dengan indera pendengaran.  Perlu bimbingan dalam Menghubungkan gaya dengan gerak pada peristiwa di lingkungan sekitar. </v>
          </cell>
        </row>
        <row r="45">
          <cell r="B45">
            <v>42</v>
          </cell>
          <cell r="C45" t="str">
            <v>NOVA SASMYTA</v>
          </cell>
          <cell r="D45">
            <v>83.583333333333329</v>
          </cell>
          <cell r="E45" t="str">
            <v>B</v>
          </cell>
          <cell r="F45" t="str">
            <v xml:space="preserve">Ananda Nova Sasmyta sangat baik dalam Menerapkan sifat-sifat bunyi dan keterkaitannya dengan indera pendengaran.  Perlu bimbingan dalam Menghubungkan gaya dengan gerak pada peristiwa di lingkungan sekitar. </v>
          </cell>
        </row>
        <row r="46">
          <cell r="B46">
            <v>43</v>
          </cell>
          <cell r="C46" t="str">
            <v>RIDHA RAHMATUL AULA RIDWAN</v>
          </cell>
          <cell r="D46">
            <v>83.583333333333329</v>
          </cell>
          <cell r="E46" t="str">
            <v>B</v>
          </cell>
          <cell r="F46" t="str">
            <v xml:space="preserve">Ananda Ridha Rahmatul Aula Ridwan sangat baik dalam Menerapkan sifat-sifat bunyi dan keterkaitannya dengan indera pendengaran.  Perlu bimbingan dalam Menghubungkan gaya dengan gerak pada peristiwa di lingkungan sekitar. </v>
          </cell>
        </row>
        <row r="47">
          <cell r="B47">
            <v>44</v>
          </cell>
          <cell r="C47" t="str">
            <v>RIFDA SALSABILA PURNAMA</v>
          </cell>
          <cell r="D47">
            <v>83.583333333333329</v>
          </cell>
          <cell r="E47" t="str">
            <v>B</v>
          </cell>
          <cell r="F47" t="str">
            <v xml:space="preserve">Ananda Rifda Salsabila Purnama sangat baik dalam Menerapkan sifat-sifat bunyi dan keterkaitannya dengan indera pendengaran.  Perlu bimbingan dalam Menghubungkan gaya dengan gerak pada peristiwa di lingkungan sekitar. </v>
          </cell>
        </row>
        <row r="48">
          <cell r="B48">
            <v>45</v>
          </cell>
          <cell r="C48" t="str">
            <v>RIZKI INTAN KURNIAENDAH</v>
          </cell>
          <cell r="D48">
            <v>83.583333333333329</v>
          </cell>
          <cell r="E48" t="str">
            <v>B</v>
          </cell>
          <cell r="F48" t="str">
            <v xml:space="preserve">Ananda Rizki Intan Kurniaendah sangat baik dalam Menerapkan sifat-sifat bunyi dan keterkaitannya dengan indera pendengaran.  Perlu bimbingan dalam Menghubungkan gaya dengan gerak pada peristiwa di lingkungan sekitar. </v>
          </cell>
        </row>
        <row r="49">
          <cell r="B49">
            <v>46</v>
          </cell>
          <cell r="C49" t="str">
            <v>RIZKY FIRMANSYAH</v>
          </cell>
          <cell r="D49">
            <v>83.583333333333329</v>
          </cell>
          <cell r="E49" t="str">
            <v>B</v>
          </cell>
          <cell r="F49" t="str">
            <v xml:space="preserve">Ananda Rizky Firmansyah sangat baik dalam Menerapkan sifat-sifat bunyi dan keterkaitannya dengan indera pendengaran.  Perlu bimbingan dalam Menghubungkan gaya dengan gerak pada peristiwa di lingkungan sekitar. </v>
          </cell>
        </row>
        <row r="50">
          <cell r="B50">
            <v>47</v>
          </cell>
          <cell r="C50" t="str">
            <v>SAFIRA NUR LAYLA RAMADHANI</v>
          </cell>
          <cell r="D50">
            <v>83.583333333333329</v>
          </cell>
          <cell r="E50" t="str">
            <v>B</v>
          </cell>
          <cell r="F50" t="str">
            <v xml:space="preserve">Ananda Safira Nur Layla Ramadhani sangat baik dalam Menerapkan sifat-sifat bunyi dan keterkaitannya dengan indera pendengaran.  Perlu bimbingan dalam Menghubungkan gaya dengan gerak pada peristiwa di lingkungan sekitar. </v>
          </cell>
        </row>
        <row r="51">
          <cell r="B51">
            <v>48</v>
          </cell>
          <cell r="C51" t="str">
            <v>SHANASTRI RUFAIDA</v>
          </cell>
          <cell r="D51">
            <v>83.583333333333329</v>
          </cell>
          <cell r="E51" t="str">
            <v>B</v>
          </cell>
          <cell r="F51" t="str">
            <v xml:space="preserve">Ananda Shanastri Rufaida sangat baik dalam Menerapkan sifat-sifat bunyi dan keterkaitannya dengan indera pendengaran.  Perlu bimbingan dalam Menghubungkan gaya dengan gerak pada peristiwa di lingkungan sekitar. </v>
          </cell>
        </row>
        <row r="52">
          <cell r="B52">
            <v>49</v>
          </cell>
          <cell r="C52" t="str">
            <v>SHIAM SAHARA</v>
          </cell>
          <cell r="D52">
            <v>83.583333333333329</v>
          </cell>
          <cell r="E52" t="str">
            <v>B</v>
          </cell>
          <cell r="F52" t="str">
            <v xml:space="preserve">Ananda Shiam Sahara sangat baik dalam Menerapkan sifat-sifat bunyi dan keterkaitannya dengan indera pendengaran.  Perlu bimbingan dalam Menghubungkan gaya dengan gerak pada peristiwa di lingkungan sekitar. </v>
          </cell>
        </row>
        <row r="53">
          <cell r="B53">
            <v>50</v>
          </cell>
          <cell r="C53" t="str">
            <v>SUSAN APRILIA PUTRI</v>
          </cell>
          <cell r="D53">
            <v>83.583333333333329</v>
          </cell>
          <cell r="E53" t="str">
            <v>B</v>
          </cell>
          <cell r="F53" t="str">
            <v xml:space="preserve">Ananda Susan Aprilia Putri sangat baik dalam Menerapkan sifat-sifat bunyi dan keterkaitannya dengan indera pendengaran.  Perlu bimbingan dalam Menghubungkan gaya dengan gerak pada peristiwa di lingkungan sekitar. </v>
          </cell>
        </row>
      </sheetData>
      <sheetData sheetId="23"/>
      <sheetData sheetId="24">
        <row r="4">
          <cell r="B4">
            <v>1</v>
          </cell>
          <cell r="C4" t="str">
            <v>AZKA AFINA KHOIRUL IZA</v>
          </cell>
          <cell r="D4">
            <v>87.333333333333329</v>
          </cell>
          <cell r="E4" t="str">
            <v>B</v>
          </cell>
          <cell r="F4" t="str">
            <v>Ananda Azka Afina Khoirul Iza sangat baik dalam Menjelaskan pecahan-pecahan senilai dengan gambar dan model konkret.  Perlu bimbingan dalam Menjelaskan dan menentukan faktor persekutuan, faktor persekutuan terbesar (FPB), kelipatan persekutuan, dan kelipa</v>
          </cell>
        </row>
        <row r="5">
          <cell r="B5">
            <v>2</v>
          </cell>
          <cell r="C5" t="str">
            <v>BAGUS WIDA KANAKA</v>
          </cell>
          <cell r="D5">
            <v>67</v>
          </cell>
          <cell r="E5" t="str">
            <v>D</v>
          </cell>
          <cell r="F5" t="str">
            <v>Ananda Bagus Wida Kanaka perlu bimbingan dalam Menjelaskan dan melakukan penaksiran dari jumlah, selisih, hasil kali, dan hasil bagi dua bilangan cacah maupun pecahan dan desimal.  Perlu bimbingan dalam Menjelaskan dan melakukan penaksiran dari jumlah, se</v>
          </cell>
        </row>
        <row r="6">
          <cell r="B6">
            <v>3</v>
          </cell>
          <cell r="C6" t="str">
            <v>DENI FIRYA ATHALLAH PRADINAYA</v>
          </cell>
          <cell r="D6">
            <v>67</v>
          </cell>
          <cell r="E6" t="str">
            <v>D</v>
          </cell>
          <cell r="F6" t="str">
            <v>Ananda Deni Firya Athallah Pradinaya perlu bimbingan dalam Menjelaskan dan melakukan penaksiran dari jumlah, selisih, hasil kali, dan hasil bagi dua bilangan cacah maupun pecahan dan desimal.  Perlu bimbingan dalam Menjelaskan dan melakukan penaksiran dar</v>
          </cell>
        </row>
        <row r="7">
          <cell r="B7">
            <v>4</v>
          </cell>
          <cell r="C7" t="str">
            <v>DEWI GALUH MULANSARI</v>
          </cell>
          <cell r="D7">
            <v>67</v>
          </cell>
          <cell r="E7" t="str">
            <v>D</v>
          </cell>
          <cell r="F7" t="str">
            <v>Ananda Dewi Galuh Mulansari perlu bimbingan dalam Menjelaskan berbagai bentuk pecahan (biasa, campuran, desimal, dan persen) dan hubungan di antaranya.  Perlu bimbingan dalam Menjelaskan berbagai bentuk pecahan (biasa, campuran, desimal, dan persen) dan h</v>
          </cell>
        </row>
        <row r="8">
          <cell r="B8">
            <v>5</v>
          </cell>
          <cell r="C8" t="str">
            <v>DIAN PUJI LESTARI</v>
          </cell>
          <cell r="D8">
            <v>67</v>
          </cell>
          <cell r="E8" t="str">
            <v>D</v>
          </cell>
          <cell r="F8" t="str">
            <v>Ananda Dian Puji Lestari perlu bimbingan dalam Menjelaskan hubungan antar garis (sejajar, berpotongan, berhimpit) menggunakan model konkret.  Perlu bimbingan dalam Menjelaskan hubungan antar garis (sejajar, berpotongan, berhimpit) menggunakan model konkre</v>
          </cell>
        </row>
        <row r="9">
          <cell r="B9">
            <v>6</v>
          </cell>
          <cell r="C9" t="str">
            <v>Hafidz Langgeng Prasetyo</v>
          </cell>
          <cell r="D9">
            <v>67</v>
          </cell>
          <cell r="E9" t="str">
            <v>D</v>
          </cell>
          <cell r="F9" t="str">
            <v>Ananda Hafidz Langgeng Prasetyo perlu bimbingan dalam Menjelaskan hubungan antar garis (sejajar, berpotongan, berhimpit) menggunakan model konkret.  Perlu bimbingan dalam Menjelaskan hubungan antar garis (sejajar, berpotongan, berhimpit) menggunakan model</v>
          </cell>
        </row>
        <row r="10">
          <cell r="B10">
            <v>7</v>
          </cell>
          <cell r="C10" t="str">
            <v>JALU ARTHA AJI MANGGALA HANDOKO</v>
          </cell>
          <cell r="D10">
            <v>67</v>
          </cell>
          <cell r="E10" t="str">
            <v>D</v>
          </cell>
          <cell r="F10" t="str">
            <v>Ananda Jalu Artha Aji Manggala Handoko perlu bimbingan dalam Menjelaskan berbagai bentuk pecahan (biasa, campuran, desimal, dan persen) dan hubungan di antaranya.  Perlu bimbingan dalam Menjelaskan berbagai bentuk pecahan (biasa, campuran, desimal, dan pe</v>
          </cell>
        </row>
        <row r="11">
          <cell r="B11">
            <v>8</v>
          </cell>
          <cell r="C11" t="str">
            <v>LAURENDHO RADIEFCA MURDIONO</v>
          </cell>
          <cell r="D11">
            <v>67</v>
          </cell>
          <cell r="E11" t="str">
            <v>D</v>
          </cell>
          <cell r="F11" t="str">
            <v xml:space="preserve">Ananda Laurendho Radiefca Murdiono perlu bimbingan dalam Menjelaskan dan melakukan penaksiran dari jumlah, selisih, hasil kali, dan hasil bagi dua bilangan cacah maupun pecahan dan desimal.  Perlu bimbingan dalam Menjelaskan dan melakukan penaksiran dari </v>
          </cell>
        </row>
        <row r="12">
          <cell r="B12">
            <v>9</v>
          </cell>
          <cell r="C12" t="str">
            <v>MARSYA MAYDINA DWI RISQITA</v>
          </cell>
          <cell r="D12">
            <v>67</v>
          </cell>
          <cell r="E12" t="str">
            <v>D</v>
          </cell>
          <cell r="F12" t="str">
            <v>Ananda Marsya Maydina Dwi Risqita perlu bimbingan dalam Menjelaskan hubungan antar garis (sejajar, berpotongan, berhimpit) menggunakan model konkret.  Perlu bimbingan dalam Menjelaskan hubungan antar garis (sejajar, berpotongan, berhimpit) menggunakan mod</v>
          </cell>
        </row>
        <row r="13">
          <cell r="B13">
            <v>10</v>
          </cell>
          <cell r="C13" t="str">
            <v>MILA SARASWATI</v>
          </cell>
          <cell r="D13">
            <v>67</v>
          </cell>
          <cell r="E13" t="str">
            <v>D</v>
          </cell>
          <cell r="F13" t="str">
            <v xml:space="preserve">Ananda Mila Saraswati perlu bimbingan dalam Menjelaskan data diri peserta didik dan lingkungannya yang disajikan dalam bentuk diagram batang.  Perlu bimbingan dalam Menjelaskan data diri peserta didik dan lingkungannya yang disajikan dalam bentuk diagram </v>
          </cell>
        </row>
        <row r="14">
          <cell r="B14">
            <v>11</v>
          </cell>
          <cell r="C14" t="str">
            <v>MUHAMMAD ARKAN ALLY RACHMAD</v>
          </cell>
          <cell r="D14">
            <v>67</v>
          </cell>
          <cell r="E14" t="str">
            <v>D</v>
          </cell>
          <cell r="F14" t="str">
            <v xml:space="preserve">Ananda Muhammad Arkan Ally Rachmad perlu bimbingan dalam Menjelaskan dan menentukan keliling dan luas persegi, persegipanjang, dan segitiga serta hubungan pangkat dua dengan akar pangkat dua.  Perlu bimbingan dalam Menjelaskan dan menentukan keliling dan </v>
          </cell>
        </row>
        <row r="15">
          <cell r="B15">
            <v>12</v>
          </cell>
          <cell r="C15" t="str">
            <v>MUHAMMAD REVIAN ABDULLOH FAQIH</v>
          </cell>
          <cell r="D15">
            <v>67</v>
          </cell>
          <cell r="E15" t="str">
            <v>D</v>
          </cell>
          <cell r="F15" t="str">
            <v>Ananda Muhammad Revian Abdulloh Faqih perlu bimbingan dalam Menjelaskan data diri peserta didik dan lingkungannya yang disajikan dalam bentuk diagram batang.  Perlu bimbingan dalam Menjelaskan data diri peserta didik dan lingkungannya yang disajikan dalam</v>
          </cell>
        </row>
        <row r="16">
          <cell r="B16">
            <v>13</v>
          </cell>
          <cell r="C16" t="str">
            <v>NABILA AYUNINGTIAS</v>
          </cell>
          <cell r="D16">
            <v>67</v>
          </cell>
          <cell r="E16" t="str">
            <v>D</v>
          </cell>
          <cell r="F16" t="str">
            <v>Ananda Nabila Ayuningtias perlu bimbingan dalam Menjelaskan data diri peserta didik dan lingkungannya yang disajikan dalam bentuk diagram batang.  Perlu bimbingan dalam Menjelaskan data diri peserta didik dan lingkungannya yang disajikan dalam bentuk diag</v>
          </cell>
        </row>
        <row r="17">
          <cell r="B17">
            <v>14</v>
          </cell>
          <cell r="C17" t="str">
            <v>NARESWARI MASAYU PUSPANINGRUM</v>
          </cell>
          <cell r="D17">
            <v>67</v>
          </cell>
          <cell r="E17" t="str">
            <v>D</v>
          </cell>
          <cell r="F17" t="str">
            <v>Ananda Nareswari Masayu Puspaningrum perlu bimbingan dalam Menjelaskan dan melakukan penaksiran dari jumlah, selisih, hasil kali, dan hasil bagi dua bilangan cacah maupun pecahan dan desimal.  Perlu bimbingan dalam Menjelaskan dan melakukan penaksiran dar</v>
          </cell>
        </row>
        <row r="18">
          <cell r="B18">
            <v>15</v>
          </cell>
          <cell r="C18" t="str">
            <v>NOVA SASMYTA</v>
          </cell>
          <cell r="D18">
            <v>67</v>
          </cell>
          <cell r="E18" t="str">
            <v>D</v>
          </cell>
          <cell r="F18" t="str">
            <v>Ananda Nova Sasmyta perlu bimbingan dalam Menjelaskan data diri peserta didik dan lingkungannya yang disajikan dalam bentuk diagram batang.  Perlu bimbingan dalam Menjelaskan data diri peserta didik dan lingkungannya yang disajikan dalam bentuk diagram ba</v>
          </cell>
        </row>
        <row r="19">
          <cell r="B19">
            <v>16</v>
          </cell>
          <cell r="C19" t="str">
            <v>RIDHA RAHMATUL AULA RIDWAN</v>
          </cell>
          <cell r="D19">
            <v>67</v>
          </cell>
          <cell r="E19" t="str">
            <v>D</v>
          </cell>
          <cell r="F19" t="str">
            <v>Ananda Ridha Rahmatul Aula Ridwan perlu bimbingan dalam Menjelaskan berbagai bentuk pecahan (biasa, campuran, desimal, dan persen) dan hubungan di antaranya.  Perlu bimbingan dalam Menjelaskan berbagai bentuk pecahan (biasa, campuran, desimal, dan persen)</v>
          </cell>
        </row>
        <row r="20">
          <cell r="B20">
            <v>17</v>
          </cell>
          <cell r="C20" t="str">
            <v>RIFDA SALSABILA PURNAMA</v>
          </cell>
          <cell r="D20">
            <v>67</v>
          </cell>
          <cell r="E20" t="str">
            <v>D</v>
          </cell>
          <cell r="F20" t="str">
            <v>Ananda Rifda Salsabila Purnama perlu bimbingan dalam Menjelaskan dan menentukan keliling dan luas persegi, persegipanjang, dan segitiga serta hubungan pangkat dua dengan akar pangkat dua.  Perlu bimbingan dalam Menjelaskan dan menentukan keliling dan luas</v>
          </cell>
        </row>
        <row r="21">
          <cell r="B21">
            <v>18</v>
          </cell>
          <cell r="C21" t="str">
            <v>RIZKI INTAN KURNIAENDAH</v>
          </cell>
          <cell r="D21">
            <v>67</v>
          </cell>
          <cell r="E21" t="str">
            <v>D</v>
          </cell>
          <cell r="F21" t="str">
            <v>Ananda Rizki Intan Kurniaendah perlu bimbingan dalam Menjelaskan dan melakukan pembulatan hasil pengukuran panjang dan berat ke satuan terdekat.  Perlu bimbingan dalam Menjelaskan dan melakukan pembulatan hasil pengukuran panjang dan berat ke satuan terde</v>
          </cell>
        </row>
        <row r="22">
          <cell r="B22">
            <v>19</v>
          </cell>
          <cell r="C22" t="str">
            <v>RIZKY FIRMANSYAH</v>
          </cell>
          <cell r="D22">
            <v>67</v>
          </cell>
          <cell r="E22" t="str">
            <v>D</v>
          </cell>
          <cell r="F22" t="str">
            <v xml:space="preserve">Ananda Rizky Firmansyah perlu bimbingan dalam Menjelaskan bilangan prima.  Perlu bimbingan dalam Menjelaskan bilangan prima. </v>
          </cell>
        </row>
        <row r="23">
          <cell r="B23">
            <v>20</v>
          </cell>
          <cell r="C23" t="str">
            <v>SAFIRA NUR LAYLA RAMADHANI</v>
          </cell>
          <cell r="D23">
            <v>67</v>
          </cell>
          <cell r="E23" t="str">
            <v>D</v>
          </cell>
          <cell r="F23" t="str">
            <v>Ananda Safira Nur Layla Ramadhani perlu bimbingan dalam Menjelaskan dan melakukan pembulatan hasil pengukuran panjang dan berat ke satuan terdekat.  Perlu bimbingan dalam Menjelaskan dan melakukan pembulatan hasil pengukuran panjang dan berat ke satuan te</v>
          </cell>
        </row>
        <row r="24">
          <cell r="B24">
            <v>21</v>
          </cell>
          <cell r="C24" t="str">
            <v>SHANASTRI RUFAIDA</v>
          </cell>
          <cell r="D24">
            <v>67</v>
          </cell>
          <cell r="E24" t="str">
            <v>D</v>
          </cell>
          <cell r="F24" t="str">
            <v>Ananda Shanastri Rufaida perlu bimbingan dalam Menjelaskan dan melakukan penaksiran dari jumlah, selisih, hasil kali, dan hasil bagi dua bilangan cacah maupun pecahan dan desimal.  Perlu bimbingan dalam Menjelaskan dan melakukan penaksiran dari jumlah, se</v>
          </cell>
        </row>
        <row r="25">
          <cell r="B25">
            <v>22</v>
          </cell>
          <cell r="C25" t="str">
            <v>SHIAM SAHARA</v>
          </cell>
          <cell r="D25">
            <v>67</v>
          </cell>
          <cell r="E25" t="str">
            <v>D</v>
          </cell>
          <cell r="F25" t="str">
            <v>Ananda Shiam Sahara perlu bimbingan dalam Menjelaskan dan melakukan penaksiran dari jumlah, selisih, hasil kali, dan hasil bagi dua bilangan cacah maupun pecahan dan desimal.  Perlu bimbingan dalam Menjelaskan dan melakukan penaksiran dari jumlah, selisih</v>
          </cell>
        </row>
        <row r="26">
          <cell r="B26">
            <v>23</v>
          </cell>
          <cell r="C26" t="str">
            <v>SUSAN APRILIA PUTRI</v>
          </cell>
          <cell r="D26">
            <v>67</v>
          </cell>
          <cell r="E26" t="str">
            <v>D</v>
          </cell>
          <cell r="F26" t="str">
            <v xml:space="preserve">Ananda Susan Aprilia Putri perlu bimbingan dalam Menjelaskan dan melakukan penaksiran dari jumlah, selisih, hasil kali, dan hasil bagi dua bilangan cacah maupun pecahan dan desimal.  Perlu bimbingan dalam Menjelaskan dan melakukan penaksiran dari jumlah, </v>
          </cell>
        </row>
        <row r="27">
          <cell r="B27">
            <v>24</v>
          </cell>
          <cell r="C27" t="str">
            <v>SYIFAUL CHUSNA BANATU ROHMI HADI</v>
          </cell>
          <cell r="D27">
            <v>67</v>
          </cell>
          <cell r="E27" t="str">
            <v>D</v>
          </cell>
          <cell r="F27" t="str">
            <v>Ananda Syifaul Chusna Banatu Rohmi Hadi perlu bimbingan dalam Menjelaskan dan menentukan faktor persekutuan, faktor persekutuan terbesar (FPB), kelipatan persekutuan, dan kelipatan persekutuan terkecil (KPK) dari dua bilangan berkaitan dengan kehidupan se</v>
          </cell>
        </row>
        <row r="28">
          <cell r="B28">
            <v>25</v>
          </cell>
          <cell r="C28" t="str">
            <v>VANESSA VICKY AYU LESTARI</v>
          </cell>
          <cell r="D28">
            <v>67</v>
          </cell>
          <cell r="E28" t="str">
            <v>D</v>
          </cell>
          <cell r="F28" t="str">
            <v xml:space="preserve">Ananda Vanessa Vicky Ayu Lestari perlu bimbingan dalam Menjelaskan bilangan prima.  Perlu bimbingan dalam Menjelaskan bilangan prima. </v>
          </cell>
        </row>
        <row r="29">
          <cell r="B29">
            <v>26</v>
          </cell>
          <cell r="C29" t="str">
            <v>WIBI NUR FIRMANSYAH</v>
          </cell>
          <cell r="D29">
            <v>67</v>
          </cell>
          <cell r="E29" t="str">
            <v>D</v>
          </cell>
          <cell r="F29" t="str">
            <v>Ananda Wibi Nur Firmansyah perlu bimbingan dalam Menjelaskan dan menentukan keliling dan luas persegi, persegipanjang, dan segitiga serta hubungan pangkat dua dengan akar pangkat dua.  Perlu bimbingan dalam Menjelaskan dan menentukan keliling dan luas per</v>
          </cell>
        </row>
        <row r="30">
          <cell r="B30">
            <v>27</v>
          </cell>
          <cell r="C30" t="str">
            <v>ZULFIDA NURUL MAZIDAH</v>
          </cell>
          <cell r="D30">
            <v>67</v>
          </cell>
          <cell r="E30" t="str">
            <v>D</v>
          </cell>
          <cell r="F30" t="str">
            <v>Ananda Zulfida Nurul Mazidah perlu bimbingan dalam Menjelaskan dan melakukan penaksiran dari jumlah, selisih, hasil kali, dan hasil bagi dua bilangan cacah maupun pecahan dan desimal.  Perlu bimbingan dalam Menjelaskan dan melakukan penaksiran dari jumlah</v>
          </cell>
        </row>
        <row r="31">
          <cell r="B31">
            <v>28</v>
          </cell>
          <cell r="C31" t="str">
            <v>AZKA AFINA KHOIRUL IZA</v>
          </cell>
          <cell r="D31">
            <v>67</v>
          </cell>
          <cell r="E31" t="str">
            <v>D</v>
          </cell>
          <cell r="F31" t="str">
            <v>Ananda Azka Afina Khoirul Iza perlu bimbingan dalam Menjelaskan berbagai bentuk pecahan (biasa, campuran, desimal, dan persen) dan hubungan di antaranya.  Perlu bimbingan dalam Menjelaskan berbagai bentuk pecahan (biasa, campuran, desimal, dan persen) dan</v>
          </cell>
        </row>
        <row r="32">
          <cell r="B32">
            <v>29</v>
          </cell>
          <cell r="C32" t="str">
            <v>BAGUS WIDA KANAKA</v>
          </cell>
          <cell r="D32">
            <v>67</v>
          </cell>
          <cell r="E32" t="str">
            <v>D</v>
          </cell>
          <cell r="F32" t="str">
            <v>Ananda Bagus Wida Kanaka perlu bimbingan dalam Menjelaskan berbagai bentuk pecahan (biasa, campuran, desimal, dan persen) dan hubungan di antaranya.  Perlu bimbingan dalam Menjelaskan berbagai bentuk pecahan (biasa, campuran, desimal, dan persen) dan hubu</v>
          </cell>
        </row>
        <row r="33">
          <cell r="B33">
            <v>30</v>
          </cell>
          <cell r="C33" t="str">
            <v>DENI FIRYA ATHALLAH PRADINAYA</v>
          </cell>
          <cell r="D33">
            <v>67</v>
          </cell>
          <cell r="E33" t="str">
            <v>D</v>
          </cell>
          <cell r="F33" t="str">
            <v>Ananda Deni Firya Athallah Pradinaya perlu bimbingan dalam Menjelaskan dan melakukan pembulatan hasil pengukuran panjang dan berat ke satuan terdekat.  Perlu bimbingan dalam Menjelaskan dan melakukan pembulatan hasil pengukuran panjang dan berat ke satuan</v>
          </cell>
        </row>
        <row r="34">
          <cell r="B34">
            <v>31</v>
          </cell>
          <cell r="C34" t="str">
            <v>DEWI GALUH MULANSARI</v>
          </cell>
          <cell r="D34">
            <v>67</v>
          </cell>
          <cell r="E34" t="str">
            <v>D</v>
          </cell>
          <cell r="F34" t="str">
            <v>Ananda Dewi Galuh Mulansari perlu bimbingan dalam Menjelaskan data diri peserta didik dan lingkungannya yang disajikan dalam bentuk diagram batang.  Perlu bimbingan dalam Menjelaskan data diri peserta didik dan lingkungannya yang disajikan dalam bentuk di</v>
          </cell>
        </row>
        <row r="35">
          <cell r="B35">
            <v>32</v>
          </cell>
          <cell r="C35" t="str">
            <v>DIAN PUJI LESTARI</v>
          </cell>
          <cell r="D35">
            <v>67</v>
          </cell>
          <cell r="E35" t="str">
            <v>D</v>
          </cell>
          <cell r="F35" t="str">
            <v>Ananda Dian Puji Lestari perlu bimbingan dalam Menjelaskan dan melakukan penaksiran dari jumlah, selisih, hasil kali, dan hasil bagi dua bilangan cacah maupun pecahan dan desimal.  Perlu bimbingan dalam Menjelaskan dan melakukan penaksiran dari jumlah, se</v>
          </cell>
        </row>
        <row r="36">
          <cell r="B36">
            <v>33</v>
          </cell>
          <cell r="C36" t="str">
            <v>Hafidz Langgeng Prasetyo</v>
          </cell>
          <cell r="D36">
            <v>67</v>
          </cell>
          <cell r="E36" t="str">
            <v>D</v>
          </cell>
          <cell r="F36" t="str">
            <v>Ananda Hafidz Langgeng Prasetyo perlu bimbingan dalam Menjelaskan dan melakukan penaksiran dari jumlah, selisih, hasil kali, dan hasil bagi dua bilangan cacah maupun pecahan dan desimal.  Perlu bimbingan dalam Menjelaskan dan melakukan penaksiran dari jum</v>
          </cell>
        </row>
        <row r="37">
          <cell r="B37">
            <v>34</v>
          </cell>
          <cell r="C37" t="str">
            <v>JALU ARTHA AJI MANGGALA HANDOKO</v>
          </cell>
          <cell r="D37">
            <v>67</v>
          </cell>
          <cell r="E37" t="str">
            <v>D</v>
          </cell>
          <cell r="F37" t="str">
            <v xml:space="preserve">Ananda Jalu Artha Aji Manggala Handoko perlu bimbingan dalam Menjelaskan pecahan-pecahan senilai dengan gambar dan model konkret.  Perlu bimbingan dalam Menjelaskan pecahan-pecahan senilai dengan gambar dan model konkret. </v>
          </cell>
        </row>
        <row r="38">
          <cell r="B38">
            <v>35</v>
          </cell>
          <cell r="C38" t="str">
            <v>LAURENDHO RADIEFCA MURDIONO</v>
          </cell>
          <cell r="D38">
            <v>67</v>
          </cell>
          <cell r="E38" t="str">
            <v>D</v>
          </cell>
          <cell r="F38" t="str">
            <v>Ananda Laurendho Radiefca Murdiono perlu bimbingan dalam Menjelaskan dan melakukan pembulatan hasil pengukuran panjang dan berat ke satuan terdekat.  Perlu bimbingan dalam Menjelaskan dan melakukan pembulatan hasil pengukuran panjang dan berat ke satuan t</v>
          </cell>
        </row>
        <row r="39">
          <cell r="B39">
            <v>36</v>
          </cell>
          <cell r="C39" t="str">
            <v>MARSYA MAYDINA DWI RISQITA</v>
          </cell>
          <cell r="D39">
            <v>67</v>
          </cell>
          <cell r="E39" t="str">
            <v>D</v>
          </cell>
          <cell r="F39" t="str">
            <v>Ananda Marsya Maydina Dwi Risqita perlu bimbingan dalam Menjelaskan berbagai bentuk pecahan (biasa, campuran, desimal, dan persen) dan hubungan di antaranya.  Perlu bimbingan dalam Menjelaskan berbagai bentuk pecahan (biasa, campuran, desimal, dan persen)</v>
          </cell>
        </row>
        <row r="40">
          <cell r="B40">
            <v>37</v>
          </cell>
          <cell r="C40" t="str">
            <v>MILA SARASWATI</v>
          </cell>
          <cell r="D40">
            <v>67</v>
          </cell>
          <cell r="E40" t="str">
            <v>D</v>
          </cell>
          <cell r="F40" t="str">
            <v xml:space="preserve">Ananda Mila Saraswati perlu bimbingan dalam Menjelaskan faktor dan kelipatan suatu bilangan.  Perlu bimbingan dalam Menjelaskan faktor dan kelipatan suatu bilangan. </v>
          </cell>
        </row>
        <row r="41">
          <cell r="B41">
            <v>38</v>
          </cell>
          <cell r="C41" t="str">
            <v>MUHAMMAD ARKAN ALLY RACHMAD</v>
          </cell>
          <cell r="D41">
            <v>67</v>
          </cell>
          <cell r="E41" t="str">
            <v>D</v>
          </cell>
          <cell r="F41" t="str">
            <v>Ananda Muhammad Arkan Ally Rachmad perlu bimbingan dalam Menjelaskan dan menentukan faktor persekutuan, faktor persekutuan terbesar (FPB), kelipatan persekutuan, dan kelipatan persekutuan terkecil (KPK) dari dua bilangan berkaitan dengan kehidupan sehari-</v>
          </cell>
        </row>
        <row r="42">
          <cell r="B42">
            <v>39</v>
          </cell>
          <cell r="C42" t="str">
            <v>MUHAMMAD REVIAN ABDULLOH FAQIH</v>
          </cell>
          <cell r="D42">
            <v>67</v>
          </cell>
          <cell r="E42" t="str">
            <v>D</v>
          </cell>
          <cell r="F42" t="str">
            <v>Ananda Muhammad Revian Abdulloh Faqih perlu bimbingan dalam Menjelaskan data diri peserta didik dan lingkungannya yang disajikan dalam bentuk diagram batang.  Perlu bimbingan dalam Menjelaskan data diri peserta didik dan lingkungannya yang disajikan dalam</v>
          </cell>
        </row>
        <row r="43">
          <cell r="B43">
            <v>40</v>
          </cell>
          <cell r="C43" t="str">
            <v>NABILA AYUNINGTIAS</v>
          </cell>
          <cell r="D43">
            <v>67</v>
          </cell>
          <cell r="E43" t="str">
            <v>D</v>
          </cell>
          <cell r="F43" t="str">
            <v>Ananda Nabila Ayuningtias perlu bimbingan dalam Menjelaskan berbagai bentuk pecahan (biasa, campuran, desimal, dan persen) dan hubungan di antaranya.  Perlu bimbingan dalam Menjelaskan berbagai bentuk pecahan (biasa, campuran, desimal, dan persen) dan hub</v>
          </cell>
        </row>
        <row r="44">
          <cell r="B44">
            <v>41</v>
          </cell>
          <cell r="C44" t="str">
            <v>NARESWARI MASAYU PUSPANINGRUM</v>
          </cell>
          <cell r="D44">
            <v>67</v>
          </cell>
          <cell r="E44" t="str">
            <v>D</v>
          </cell>
          <cell r="F44" t="str">
            <v xml:space="preserve">Ananda Nareswari Masayu Puspaningrum perlu bimbingan dalam Menjelaskan hubungan antar garis (sejajar, berpotongan, berhimpit) menggunakan model konkret.  Perlu bimbingan dalam Menjelaskan hubungan antar garis (sejajar, berpotongan, berhimpit) menggunakan </v>
          </cell>
        </row>
        <row r="45">
          <cell r="B45">
            <v>42</v>
          </cell>
          <cell r="C45" t="str">
            <v>NOVA SASMYTA</v>
          </cell>
          <cell r="D45">
            <v>67</v>
          </cell>
          <cell r="E45" t="str">
            <v>D</v>
          </cell>
          <cell r="F45" t="str">
            <v xml:space="preserve">Ananda Nova Sasmyta perlu bimbingan dalam Menganalisis sifat-sifat segibanyak beraturan dan segibanyak tidak beraturan.  Perlu bimbingan dalam Menganalisis sifat-sifat segibanyak beraturan dan segibanyak tidak beraturan. </v>
          </cell>
        </row>
        <row r="46">
          <cell r="B46">
            <v>43</v>
          </cell>
          <cell r="C46" t="str">
            <v>RIDHA RAHMATUL AULA RIDWAN</v>
          </cell>
          <cell r="D46">
            <v>67</v>
          </cell>
          <cell r="E46" t="str">
            <v>D</v>
          </cell>
          <cell r="F46" t="str">
            <v>Ananda Ridha Rahmatul Aula Ridwan perlu bimbingan dalam Menjelaskan dan menentukan keliling dan luas persegi, persegipanjang, dan segitiga serta hubungan pangkat dua dengan akar pangkat dua.  Perlu bimbingan dalam Menjelaskan dan menentukan keliling dan l</v>
          </cell>
        </row>
        <row r="47">
          <cell r="B47">
            <v>44</v>
          </cell>
          <cell r="C47" t="str">
            <v>RIFDA SALSABILA PURNAMA</v>
          </cell>
          <cell r="D47">
            <v>67</v>
          </cell>
          <cell r="E47" t="str">
            <v>D</v>
          </cell>
          <cell r="F47" t="str">
            <v>Ananda Rifda Salsabila Purnama perlu bimbingan dalam Menjelaskan dan melakukan penaksiran dari jumlah, selisih, hasil kali, dan hasil bagi dua bilangan cacah maupun pecahan dan desimal.  Perlu bimbingan dalam Menjelaskan dan melakukan penaksiran dari juml</v>
          </cell>
        </row>
        <row r="48">
          <cell r="B48">
            <v>45</v>
          </cell>
          <cell r="C48" t="str">
            <v>RIZKI INTAN KURNIAENDAH</v>
          </cell>
          <cell r="D48">
            <v>67</v>
          </cell>
          <cell r="E48" t="str">
            <v>D</v>
          </cell>
          <cell r="F48" t="str">
            <v xml:space="preserve">Ananda Rizki Intan Kurniaendah perlu bimbingan dalam Menjelaskan bilangan prima.  Perlu bimbingan dalam Menjelaskan bilangan prima. </v>
          </cell>
        </row>
        <row r="49">
          <cell r="B49">
            <v>46</v>
          </cell>
          <cell r="C49" t="str">
            <v>RIZKY FIRMANSYAH</v>
          </cell>
          <cell r="D49">
            <v>67</v>
          </cell>
          <cell r="E49" t="str">
            <v>D</v>
          </cell>
          <cell r="F49" t="str">
            <v>Ananda Rizky Firmansyah perlu bimbingan dalam Menjelaskan data diri peserta didik dan lingkungannya yang disajikan dalam bentuk diagram batang.  Perlu bimbingan dalam Menjelaskan data diri peserta didik dan lingkungannya yang disajikan dalam bentuk diagra</v>
          </cell>
        </row>
        <row r="50">
          <cell r="B50">
            <v>47</v>
          </cell>
          <cell r="C50" t="str">
            <v>SAFIRA NUR LAYLA RAMADHANI</v>
          </cell>
          <cell r="D50">
            <v>67</v>
          </cell>
          <cell r="E50" t="str">
            <v>D</v>
          </cell>
          <cell r="F50" t="str">
            <v>Ananda Safira Nur Layla Ramadhani perlu bimbingan dalam Menjelaskan dan melakukan pembulatan hasil pengukuran panjang dan berat ke satuan terdekat.  Perlu bimbingan dalam Menjelaskan dan melakukan pembulatan hasil pengukuran panjang dan berat ke satuan te</v>
          </cell>
        </row>
        <row r="51">
          <cell r="B51">
            <v>48</v>
          </cell>
          <cell r="C51" t="str">
            <v>SHANASTRI RUFAIDA</v>
          </cell>
          <cell r="D51">
            <v>67</v>
          </cell>
          <cell r="E51" t="str">
            <v>D</v>
          </cell>
          <cell r="F51" t="str">
            <v>Ananda Shanastri Rufaida perlu bimbingan dalam Menjelaskan dan melakukan penaksiran dari jumlah, selisih, hasil kali, dan hasil bagi dua bilangan cacah maupun pecahan dan desimal.  Perlu bimbingan dalam Menjelaskan dan melakukan penaksiran dari jumlah, se</v>
          </cell>
        </row>
        <row r="52">
          <cell r="B52">
            <v>49</v>
          </cell>
          <cell r="C52" t="str">
            <v>SHIAM SAHARA</v>
          </cell>
          <cell r="D52">
            <v>67</v>
          </cell>
          <cell r="E52" t="str">
            <v>D</v>
          </cell>
          <cell r="F52" t="str">
            <v xml:space="preserve">Ananda Shiam Sahara perlu bimbingan dalam Menganalisis sifat-sifat segibanyak beraturan dan segibanyak tidak beraturan.  Perlu bimbingan dalam Menganalisis sifat-sifat segibanyak beraturan dan segibanyak tidak beraturan. </v>
          </cell>
        </row>
        <row r="53">
          <cell r="B53">
            <v>50</v>
          </cell>
          <cell r="C53" t="str">
            <v>SUSAN APRILIA PUTRI</v>
          </cell>
          <cell r="D53">
            <v>67</v>
          </cell>
          <cell r="E53" t="str">
            <v>D</v>
          </cell>
          <cell r="F53" t="str">
            <v xml:space="preserve">Ananda Susan Aprilia Putri perlu bimbingan dalam Menjelaskan faktor dan kelipatan suatu bilangan.  Perlu bimbingan dalam Menjelaskan faktor dan kelipatan suatu bilangan. </v>
          </cell>
        </row>
      </sheetData>
      <sheetData sheetId="25"/>
      <sheetData sheetId="26">
        <row r="4">
          <cell r="B4">
            <v>1</v>
          </cell>
          <cell r="C4" t="str">
            <v>AZKA AFINA KHOIRUL IZA</v>
          </cell>
          <cell r="D4">
            <v>89.020833333333343</v>
          </cell>
          <cell r="E4" t="str">
            <v>A</v>
          </cell>
          <cell r="F4" t="str">
            <v xml:space="preserve">Ananda Azka Afina Khoirul Iza sangat baik dalam memahami makna Q.S. al-Falaq dan Q.S. al-Fil dengan baik dan benar .  Cukup dalam memahami makna iman kepada malaikat-malaikat Allah berdasarkan pengamatan terhadap dirinya dan alam sekitar. </v>
          </cell>
        </row>
        <row r="5">
          <cell r="B5">
            <v>2</v>
          </cell>
          <cell r="C5" t="str">
            <v>BAGUS WIDA KANAKA</v>
          </cell>
          <cell r="D5">
            <v>89.67916666666666</v>
          </cell>
          <cell r="E5" t="str">
            <v>A</v>
          </cell>
          <cell r="F5" t="str">
            <v xml:space="preserve">Ananda Bagus Wida Kanaka sangat baik dalam memahami makna Q.S. al-Falaq dan Q.S. al-Fil dengan baik dan benar .  Perlu bimbingan dalam memahami makna iman kepada malaikat-malaikat Allah berdasarkan pengamatan terhadap dirinya dan alam sekitar. </v>
          </cell>
        </row>
        <row r="6">
          <cell r="B6">
            <v>3</v>
          </cell>
          <cell r="C6" t="str">
            <v>DENI FIRYA ATHALLAH PRADINAYA</v>
          </cell>
          <cell r="D6">
            <v>89.67916666666666</v>
          </cell>
          <cell r="E6" t="str">
            <v>A</v>
          </cell>
          <cell r="F6" t="str">
            <v>Ananda Deni Firya Athallah Pradinaya sangat baik dalam memahami makna Q.S. al-Falaq dan Q.S. al-Fil dengan baik dan benar .  Perlu bimbingan dalam memahami makna iman kepada malaikat-malaikat Allah berdasarkan pengamatan terhadap dirinya dan alam sekitar.</v>
          </cell>
        </row>
        <row r="7">
          <cell r="B7">
            <v>4</v>
          </cell>
          <cell r="C7" t="str">
            <v>DEWI GALUH MULANSARI</v>
          </cell>
          <cell r="D7">
            <v>89.67916666666666</v>
          </cell>
          <cell r="E7" t="str">
            <v>A</v>
          </cell>
          <cell r="F7" t="str">
            <v xml:space="preserve">Ananda Dewi Galuh Mulansari sangat baik dalam memahami makna Q.S. al-Falaq dan Q.S. al-Fil dengan baik dan benar .  Perlu bimbingan dalam memahami makna iman kepada malaikat-malaikat Allah berdasarkan pengamatan terhadap dirinya dan alam sekitar. </v>
          </cell>
        </row>
        <row r="8">
          <cell r="B8">
            <v>5</v>
          </cell>
          <cell r="C8" t="str">
            <v>DIAN PUJI LESTARI</v>
          </cell>
          <cell r="D8">
            <v>89.67916666666666</v>
          </cell>
          <cell r="E8" t="str">
            <v>A</v>
          </cell>
          <cell r="F8" t="str">
            <v xml:space="preserve">Ananda Dian Puji Lestari sangat baik dalam memahami makna Q.S. al-Falaq dan Q.S. al-Fil dengan baik dan benar .  Perlu bimbingan dalam memahami makna iman kepada malaikat-malaikat Allah berdasarkan pengamatan terhadap dirinya dan alam sekitar. </v>
          </cell>
        </row>
        <row r="9">
          <cell r="B9">
            <v>6</v>
          </cell>
          <cell r="C9" t="str">
            <v>Hafidz Langgeng Prasetyo</v>
          </cell>
          <cell r="D9">
            <v>89.67916666666666</v>
          </cell>
          <cell r="E9" t="str">
            <v>A</v>
          </cell>
          <cell r="F9"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10">
          <cell r="B10">
            <v>7</v>
          </cell>
          <cell r="C10" t="str">
            <v>JALU ARTHA AJI MANGGALA HANDOKO</v>
          </cell>
          <cell r="D10">
            <v>89.67916666666666</v>
          </cell>
          <cell r="E10" t="str">
            <v>A</v>
          </cell>
          <cell r="F10" t="str">
            <v>Ananda Jalu Artha Aji Manggala Handoko sangat baik dalam memahami makna Q.S. al-Falaq dan Q.S. al-Fil dengan baik dan benar .  Perlu bimbingan dalam memahami makna iman kepada malaikat-malaikat Allah berdasarkan pengamatan terhadap dirinya dan alam sekita</v>
          </cell>
        </row>
        <row r="11">
          <cell r="B11">
            <v>8</v>
          </cell>
          <cell r="C11" t="str">
            <v>LAURENDHO RADIEFCA MURDIONO</v>
          </cell>
          <cell r="D11">
            <v>89.67916666666666</v>
          </cell>
          <cell r="E11" t="str">
            <v>A</v>
          </cell>
          <cell r="F11"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12">
          <cell r="B12">
            <v>9</v>
          </cell>
          <cell r="C12" t="str">
            <v>MARSYA MAYDINA DWI RISQITA</v>
          </cell>
          <cell r="D12">
            <v>89.67916666666666</v>
          </cell>
          <cell r="E12" t="str">
            <v>A</v>
          </cell>
          <cell r="F12"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13">
          <cell r="B13">
            <v>10</v>
          </cell>
          <cell r="C13" t="str">
            <v>MILA SARASWATI</v>
          </cell>
          <cell r="D13">
            <v>89.67916666666666</v>
          </cell>
          <cell r="E13" t="str">
            <v>A</v>
          </cell>
          <cell r="F13" t="str">
            <v xml:space="preserve">Ananda Mila Saraswati sangat baik dalam memahami makna Q.S. al-Falaq dan Q.S. al-Fil dengan baik dan benar .  Perlu bimbingan dalam memahami makna iman kepada malaikat-malaikat Allah berdasarkan pengamatan terhadap dirinya dan alam sekitar. </v>
          </cell>
        </row>
        <row r="14">
          <cell r="B14">
            <v>11</v>
          </cell>
          <cell r="C14" t="str">
            <v>MUHAMMAD ARKAN ALLY RACHMAD</v>
          </cell>
          <cell r="D14">
            <v>89.67916666666666</v>
          </cell>
          <cell r="E14" t="str">
            <v>A</v>
          </cell>
          <cell r="F14"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15">
          <cell r="B15">
            <v>12</v>
          </cell>
          <cell r="C15" t="str">
            <v>MUHAMMAD REVIAN ABDULLOH FAQIH</v>
          </cell>
          <cell r="D15">
            <v>89.67916666666666</v>
          </cell>
          <cell r="E15" t="str">
            <v>A</v>
          </cell>
          <cell r="F15" t="str">
            <v>Ananda Muhammad Revian Abdulloh Faqih sangat baik dalam memahami makna Q.S. al-Falaq dan Q.S. al-Fil dengan baik dan benar .  Perlu bimbingan dalam memahami makna iman kepada malaikat-malaikat Allah berdasarkan pengamatan terhadap dirinya dan alam sekitar</v>
          </cell>
        </row>
        <row r="16">
          <cell r="B16">
            <v>13</v>
          </cell>
          <cell r="C16" t="str">
            <v>NABILA AYUNINGTIAS</v>
          </cell>
          <cell r="D16">
            <v>89.67916666666666</v>
          </cell>
          <cell r="E16" t="str">
            <v>A</v>
          </cell>
          <cell r="F16" t="str">
            <v xml:space="preserve">Ananda Nabila Ayuningtias sangat baik dalam memahami makna Q.S. al-Falaq dan Q.S. al-Fil dengan baik dan benar .  Perlu bimbingan dalam memahami makna iman kepada malaikat-malaikat Allah berdasarkan pengamatan terhadap dirinya dan alam sekitar. </v>
          </cell>
        </row>
        <row r="17">
          <cell r="B17">
            <v>14</v>
          </cell>
          <cell r="C17" t="str">
            <v>NARESWARI MASAYU PUSPANINGRUM</v>
          </cell>
          <cell r="D17">
            <v>89.67916666666666</v>
          </cell>
          <cell r="E17" t="str">
            <v>A</v>
          </cell>
          <cell r="F17" t="str">
            <v>Ananda Nareswari Masayu Puspaningrum sangat baik dalam memahami makna Q.S. al-Falaq dan Q.S. al-Fil dengan baik dan benar .  Perlu bimbingan dalam memahami makna iman kepada malaikat-malaikat Allah berdasarkan pengamatan terhadap dirinya dan alam sekitar.</v>
          </cell>
        </row>
        <row r="18">
          <cell r="B18">
            <v>15</v>
          </cell>
          <cell r="C18" t="str">
            <v>NOVA SASMYTA</v>
          </cell>
          <cell r="D18">
            <v>89.67916666666666</v>
          </cell>
          <cell r="E18" t="str">
            <v>A</v>
          </cell>
          <cell r="F18" t="str">
            <v xml:space="preserve">Ananda Nova Sasmyta sangat baik dalam memahami makna Q.S. al-Falaq dan Q.S. al-Fil dengan baik dan benar .  Perlu bimbingan dalam memahami makna iman kepada malaikat-malaikat Allah berdasarkan pengamatan terhadap dirinya dan alam sekitar. </v>
          </cell>
        </row>
        <row r="19">
          <cell r="B19">
            <v>16</v>
          </cell>
          <cell r="C19" t="str">
            <v>RIDHA RAHMATUL AULA RIDWAN</v>
          </cell>
          <cell r="D19">
            <v>89.67916666666666</v>
          </cell>
          <cell r="E19" t="str">
            <v>A</v>
          </cell>
          <cell r="F19"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20">
          <cell r="B20">
            <v>17</v>
          </cell>
          <cell r="C20" t="str">
            <v>RIFDA SALSABILA PURNAMA</v>
          </cell>
          <cell r="D20">
            <v>89.67916666666666</v>
          </cell>
          <cell r="E20" t="str">
            <v>A</v>
          </cell>
          <cell r="F20"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21">
          <cell r="B21">
            <v>18</v>
          </cell>
          <cell r="C21" t="str">
            <v>RIZKI INTAN KURNIAENDAH</v>
          </cell>
          <cell r="D21">
            <v>89.67916666666666</v>
          </cell>
          <cell r="E21" t="str">
            <v>A</v>
          </cell>
          <cell r="F21"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22">
          <cell r="B22">
            <v>19</v>
          </cell>
          <cell r="C22" t="str">
            <v>RIZKY FIRMANSYAH</v>
          </cell>
          <cell r="D22">
            <v>89.67916666666666</v>
          </cell>
          <cell r="E22" t="str">
            <v>A</v>
          </cell>
          <cell r="F22" t="str">
            <v xml:space="preserve">Ananda Rizky Firmansyah sangat baik dalam memahami makna Q.S. al-Falaq dan Q.S. al-Fil dengan baik dan benar .  Perlu bimbingan dalam memahami makna iman kepada malaikat-malaikat Allah berdasarkan pengamatan terhadap dirinya dan alam sekitar. </v>
          </cell>
        </row>
        <row r="23">
          <cell r="B23">
            <v>20</v>
          </cell>
          <cell r="C23" t="str">
            <v>SAFIRA NUR LAYLA RAMADHANI</v>
          </cell>
          <cell r="D23">
            <v>89.67916666666666</v>
          </cell>
          <cell r="E23" t="str">
            <v>A</v>
          </cell>
          <cell r="F23"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24">
          <cell r="B24">
            <v>21</v>
          </cell>
          <cell r="C24" t="str">
            <v>SHANASTRI RUFAIDA</v>
          </cell>
          <cell r="D24">
            <v>89.67916666666666</v>
          </cell>
          <cell r="E24" t="str">
            <v>A</v>
          </cell>
          <cell r="F24" t="str">
            <v xml:space="preserve">Ananda Shanastri Rufaida sangat baik dalam memahami makna Q.S. al-Falaq dan Q.S. al-Fil dengan baik dan benar .  Perlu bimbingan dalam memahami makna iman kepada malaikat-malaikat Allah berdasarkan pengamatan terhadap dirinya dan alam sekitar. </v>
          </cell>
        </row>
        <row r="25">
          <cell r="B25">
            <v>22</v>
          </cell>
          <cell r="C25" t="str">
            <v>SHIAM SAHARA</v>
          </cell>
          <cell r="D25">
            <v>89.67916666666666</v>
          </cell>
          <cell r="E25" t="str">
            <v>A</v>
          </cell>
          <cell r="F25" t="str">
            <v xml:space="preserve">Ananda Shiam Sahara sangat baik dalam memahami makna Q.S. al-Falaq dan Q.S. al-Fil dengan baik dan benar .  Perlu bimbingan dalam memahami makna iman kepada malaikat-malaikat Allah berdasarkan pengamatan terhadap dirinya dan alam sekitar. </v>
          </cell>
        </row>
        <row r="26">
          <cell r="B26">
            <v>23</v>
          </cell>
          <cell r="C26" t="str">
            <v>SUSAN APRILIA PUTRI</v>
          </cell>
          <cell r="D26">
            <v>89.67916666666666</v>
          </cell>
          <cell r="E26" t="str">
            <v>A</v>
          </cell>
          <cell r="F26" t="str">
            <v xml:space="preserve">Ananda Susan Aprilia Putri sangat baik dalam memahami makna Q.S. al-Falaq dan Q.S. al-Fil dengan baik dan benar .  Perlu bimbingan dalam memahami makna iman kepada malaikat-malaikat Allah berdasarkan pengamatan terhadap dirinya dan alam sekitar. </v>
          </cell>
        </row>
        <row r="27">
          <cell r="B27">
            <v>24</v>
          </cell>
          <cell r="C27" t="str">
            <v>SYIFAUL CHUSNA BANATU ROHMI HADI</v>
          </cell>
          <cell r="D27">
            <v>89.67916666666666</v>
          </cell>
          <cell r="E27" t="str">
            <v>A</v>
          </cell>
          <cell r="F27" t="str">
            <v>Ananda Syifaul Chusna Banatu Rohmi Hadi sangat baik dalam memahami makna Q.S. al-Falaq dan Q.S. al-Fil dengan baik dan benar .  Perlu bimbingan dalam memahami makna iman kepada malaikat-malaikat Allah berdasarkan pengamatan terhadap dirinya dan alam sekit</v>
          </cell>
        </row>
        <row r="28">
          <cell r="B28">
            <v>25</v>
          </cell>
          <cell r="C28" t="str">
            <v>VANESSA VICKY AYU LESTARI</v>
          </cell>
          <cell r="D28">
            <v>89.67916666666666</v>
          </cell>
          <cell r="E28" t="str">
            <v>A</v>
          </cell>
          <cell r="F28" t="str">
            <v xml:space="preserve">Ananda Vanessa Vicky Ayu Lestari sangat baik dalam memahami makna Q.S. al-Falaq dan Q.S. al-Fil dengan baik dan benar .  Perlu bimbingan dalam memahami makna iman kepada malaikat-malaikat Allah berdasarkan pengamatan terhadap dirinya dan alam sekitar. </v>
          </cell>
        </row>
        <row r="29">
          <cell r="B29">
            <v>26</v>
          </cell>
          <cell r="C29" t="str">
            <v>WIBI NUR FIRMANSYAH</v>
          </cell>
          <cell r="D29">
            <v>89.67916666666666</v>
          </cell>
          <cell r="E29" t="str">
            <v>A</v>
          </cell>
          <cell r="F29" t="str">
            <v xml:space="preserve">Ananda Wibi Nur Firmansyah sangat baik dalam memahami makna Q.S. al-Falaq dan Q.S. al-Fil dengan baik dan benar .  Perlu bimbingan dalam memahami makna iman kepada malaikat-malaikat Allah berdasarkan pengamatan terhadap dirinya dan alam sekitar. </v>
          </cell>
        </row>
        <row r="30">
          <cell r="B30">
            <v>27</v>
          </cell>
          <cell r="C30" t="str">
            <v>ZULFIDA NURUL MAZIDAH</v>
          </cell>
          <cell r="D30">
            <v>89.67916666666666</v>
          </cell>
          <cell r="E30" t="str">
            <v>A</v>
          </cell>
          <cell r="F30" t="str">
            <v xml:space="preserve">Ananda Zulfida Nurul Mazidah sangat baik dalam memahami makna Q.S. al-Falaq dan Q.S. al-Fil dengan baik dan benar .  Perlu bimbingan dalam memahami makna iman kepada malaikat-malaikat Allah berdasarkan pengamatan terhadap dirinya dan alam sekitar. </v>
          </cell>
        </row>
        <row r="31">
          <cell r="B31">
            <v>28</v>
          </cell>
          <cell r="C31" t="str">
            <v>AZKA AFINA KHOIRUL IZA</v>
          </cell>
          <cell r="D31">
            <v>89.67916666666666</v>
          </cell>
          <cell r="E31" t="str">
            <v>A</v>
          </cell>
          <cell r="F31" t="str">
            <v xml:space="preserve">Ananda Azka Afina Khoirul Iza sangat baik dalam memahami makna Q.S. al-Falaq dan Q.S. al-Fil dengan baik dan benar .  Perlu bimbingan dalam memahami makna iman kepada malaikat-malaikat Allah berdasarkan pengamatan terhadap dirinya dan alam sekitar. </v>
          </cell>
        </row>
        <row r="32">
          <cell r="B32">
            <v>29</v>
          </cell>
          <cell r="C32" t="str">
            <v>BAGUS WIDA KANAKA</v>
          </cell>
          <cell r="D32">
            <v>89.67916666666666</v>
          </cell>
          <cell r="E32" t="str">
            <v>A</v>
          </cell>
          <cell r="F32" t="str">
            <v xml:space="preserve">Ananda Bagus Wida Kanaka sangat baik dalam memahami makna Q.S. al-Falaq dan Q.S. al-Fil dengan baik dan benar .  Perlu bimbingan dalam memahami makna iman kepada malaikat-malaikat Allah berdasarkan pengamatan terhadap dirinya dan alam sekitar. </v>
          </cell>
        </row>
        <row r="33">
          <cell r="B33">
            <v>30</v>
          </cell>
          <cell r="C33" t="str">
            <v>DENI FIRYA ATHALLAH PRADINAYA</v>
          </cell>
          <cell r="D33">
            <v>89.67916666666666</v>
          </cell>
          <cell r="E33" t="str">
            <v>A</v>
          </cell>
          <cell r="F33" t="str">
            <v>Ananda Deni Firya Athallah Pradinaya sangat baik dalam memahami makna Q.S. al-Falaq dan Q.S. al-Fil dengan baik dan benar .  Perlu bimbingan dalam memahami makna iman kepada malaikat-malaikat Allah berdasarkan pengamatan terhadap dirinya dan alam sekitar.</v>
          </cell>
        </row>
        <row r="34">
          <cell r="B34">
            <v>31</v>
          </cell>
          <cell r="C34" t="str">
            <v>DEWI GALUH MULANSARI</v>
          </cell>
          <cell r="D34">
            <v>89.67916666666666</v>
          </cell>
          <cell r="E34" t="str">
            <v>A</v>
          </cell>
          <cell r="F34" t="str">
            <v xml:space="preserve">Ananda Dewi Galuh Mulansari sangat baik dalam memahami makna Q.S. al-Falaq dan Q.S. al-Fil dengan baik dan benar .  Perlu bimbingan dalam memahami makna iman kepada malaikat-malaikat Allah berdasarkan pengamatan terhadap dirinya dan alam sekitar. </v>
          </cell>
        </row>
        <row r="35">
          <cell r="B35">
            <v>32</v>
          </cell>
          <cell r="C35" t="str">
            <v>DIAN PUJI LESTARI</v>
          </cell>
          <cell r="D35">
            <v>89.67916666666666</v>
          </cell>
          <cell r="E35" t="str">
            <v>A</v>
          </cell>
          <cell r="F35" t="str">
            <v xml:space="preserve">Ananda Dian Puji Lestari sangat baik dalam memahami makna Q.S. al-Falaq dan Q.S. al-Fil dengan baik dan benar .  Perlu bimbingan dalam memahami makna iman kepada malaikat-malaikat Allah berdasarkan pengamatan terhadap dirinya dan alam sekitar. </v>
          </cell>
        </row>
        <row r="36">
          <cell r="B36">
            <v>33</v>
          </cell>
          <cell r="C36" t="str">
            <v>Hafidz Langgeng Prasetyo</v>
          </cell>
          <cell r="D36">
            <v>89.67916666666666</v>
          </cell>
          <cell r="E36" t="str">
            <v>A</v>
          </cell>
          <cell r="F36"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37">
          <cell r="B37">
            <v>34</v>
          </cell>
          <cell r="C37" t="str">
            <v>JALU ARTHA AJI MANGGALA HANDOKO</v>
          </cell>
          <cell r="D37">
            <v>89.67916666666666</v>
          </cell>
          <cell r="E37" t="str">
            <v>A</v>
          </cell>
          <cell r="F37" t="str">
            <v>Ananda Jalu Artha Aji Manggala Handoko sangat baik dalam memahami makna Q.S. al-Falaq dan Q.S. al-Fil dengan baik dan benar .  Perlu bimbingan dalam memahami makna iman kepada malaikat-malaikat Allah berdasarkan pengamatan terhadap dirinya dan alam sekita</v>
          </cell>
        </row>
        <row r="38">
          <cell r="B38">
            <v>35</v>
          </cell>
          <cell r="C38" t="str">
            <v>LAURENDHO RADIEFCA MURDIONO</v>
          </cell>
          <cell r="D38">
            <v>89.67916666666666</v>
          </cell>
          <cell r="E38" t="str">
            <v>A</v>
          </cell>
          <cell r="F38"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39">
          <cell r="B39">
            <v>36</v>
          </cell>
          <cell r="C39" t="str">
            <v>MARSYA MAYDINA DWI RISQITA</v>
          </cell>
          <cell r="D39">
            <v>89.67916666666666</v>
          </cell>
          <cell r="E39" t="str">
            <v>A</v>
          </cell>
          <cell r="F39"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40">
          <cell r="B40">
            <v>37</v>
          </cell>
          <cell r="C40" t="str">
            <v>MILA SARASWATI</v>
          </cell>
          <cell r="D40">
            <v>89.67916666666666</v>
          </cell>
          <cell r="E40" t="str">
            <v>A</v>
          </cell>
          <cell r="F40" t="str">
            <v xml:space="preserve">Ananda Mila Saraswati sangat baik dalam memahami makna Q.S. al-Falaq dan Q.S. al-Fil dengan baik dan benar .  Perlu bimbingan dalam memahami makna iman kepada malaikat-malaikat Allah berdasarkan pengamatan terhadap dirinya dan alam sekitar. </v>
          </cell>
        </row>
        <row r="41">
          <cell r="B41">
            <v>38</v>
          </cell>
          <cell r="C41" t="str">
            <v>MUHAMMAD ARKAN ALLY RACHMAD</v>
          </cell>
          <cell r="D41">
            <v>89.67916666666666</v>
          </cell>
          <cell r="E41" t="str">
            <v>A</v>
          </cell>
          <cell r="F41"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42">
          <cell r="B42">
            <v>39</v>
          </cell>
          <cell r="C42" t="str">
            <v>MUHAMMAD REVIAN ABDULLOH FAQIH</v>
          </cell>
          <cell r="D42">
            <v>89.67916666666666</v>
          </cell>
          <cell r="E42" t="str">
            <v>A</v>
          </cell>
          <cell r="F42" t="str">
            <v>Ananda Muhammad Revian Abdulloh Faqih sangat baik dalam memahami makna Q.S. al-Falaq dan Q.S. al-Fil dengan baik dan benar .  Perlu bimbingan dalam memahami makna iman kepada malaikat-malaikat Allah berdasarkan pengamatan terhadap dirinya dan alam sekitar</v>
          </cell>
        </row>
        <row r="43">
          <cell r="B43">
            <v>40</v>
          </cell>
          <cell r="C43" t="str">
            <v>NABILA AYUNINGTIAS</v>
          </cell>
          <cell r="D43">
            <v>89.67916666666666</v>
          </cell>
          <cell r="E43" t="str">
            <v>A</v>
          </cell>
          <cell r="F43" t="str">
            <v xml:space="preserve">Ananda Nabila Ayuningtias sangat baik dalam memahami makna Q.S. al-Falaq dan Q.S. al-Fil dengan baik dan benar .  Perlu bimbingan dalam memahami makna iman kepada malaikat-malaikat Allah berdasarkan pengamatan terhadap dirinya dan alam sekitar. </v>
          </cell>
        </row>
        <row r="44">
          <cell r="B44">
            <v>41</v>
          </cell>
          <cell r="C44" t="str">
            <v>NARESWARI MASAYU PUSPANINGRUM</v>
          </cell>
          <cell r="D44">
            <v>89.67916666666666</v>
          </cell>
          <cell r="E44" t="str">
            <v>A</v>
          </cell>
          <cell r="F44" t="str">
            <v>Ananda Nareswari Masayu Puspaningrum sangat baik dalam memahami makna Q.S. al-Falaq dan Q.S. al-Fil dengan baik dan benar .  Perlu bimbingan dalam memahami makna iman kepada malaikat-malaikat Allah berdasarkan pengamatan terhadap dirinya dan alam sekitar.</v>
          </cell>
        </row>
        <row r="45">
          <cell r="B45">
            <v>42</v>
          </cell>
          <cell r="C45" t="str">
            <v>NOVA SASMYTA</v>
          </cell>
          <cell r="D45">
            <v>89.67916666666666</v>
          </cell>
          <cell r="E45" t="str">
            <v>A</v>
          </cell>
          <cell r="F45" t="str">
            <v xml:space="preserve">Ananda Nova Sasmyta sangat baik dalam memahami makna Q.S. al-Falaq dan Q.S. al-Fil dengan baik dan benar .  Perlu bimbingan dalam memahami makna iman kepada malaikat-malaikat Allah berdasarkan pengamatan terhadap dirinya dan alam sekitar. </v>
          </cell>
        </row>
        <row r="46">
          <cell r="B46">
            <v>43</v>
          </cell>
          <cell r="C46" t="str">
            <v>RIDHA RAHMATUL AULA RIDWAN</v>
          </cell>
          <cell r="D46">
            <v>89.67916666666666</v>
          </cell>
          <cell r="E46" t="str">
            <v>A</v>
          </cell>
          <cell r="F46"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47">
          <cell r="B47">
            <v>44</v>
          </cell>
          <cell r="C47" t="str">
            <v>RIFDA SALSABILA PURNAMA</v>
          </cell>
          <cell r="D47">
            <v>89.67916666666666</v>
          </cell>
          <cell r="E47" t="str">
            <v>A</v>
          </cell>
          <cell r="F47"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48">
          <cell r="B48">
            <v>45</v>
          </cell>
          <cell r="C48" t="str">
            <v>RIZKI INTAN KURNIAENDAH</v>
          </cell>
          <cell r="D48">
            <v>89.67916666666666</v>
          </cell>
          <cell r="E48" t="str">
            <v>A</v>
          </cell>
          <cell r="F48"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49">
          <cell r="B49">
            <v>46</v>
          </cell>
          <cell r="C49" t="str">
            <v>RIZKY FIRMANSYAH</v>
          </cell>
          <cell r="D49">
            <v>89.67916666666666</v>
          </cell>
          <cell r="E49" t="str">
            <v>A</v>
          </cell>
          <cell r="F49" t="str">
            <v xml:space="preserve">Ananda Rizky Firmansyah sangat baik dalam memahami makna Q.S. al-Falaq dan Q.S. al-Fil dengan baik dan benar .  Perlu bimbingan dalam memahami makna iman kepada malaikat-malaikat Allah berdasarkan pengamatan terhadap dirinya dan alam sekitar. </v>
          </cell>
        </row>
        <row r="50">
          <cell r="B50">
            <v>47</v>
          </cell>
          <cell r="C50" t="str">
            <v>SAFIRA NUR LAYLA RAMADHANI</v>
          </cell>
          <cell r="D50">
            <v>89.67916666666666</v>
          </cell>
          <cell r="E50" t="str">
            <v>A</v>
          </cell>
          <cell r="F50"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51">
          <cell r="B51">
            <v>48</v>
          </cell>
          <cell r="C51" t="str">
            <v>SHANASTRI RUFAIDA</v>
          </cell>
          <cell r="D51">
            <v>89.67916666666666</v>
          </cell>
          <cell r="E51" t="str">
            <v>A</v>
          </cell>
          <cell r="F51" t="str">
            <v xml:space="preserve">Ananda Shanastri Rufaida sangat baik dalam memahami makna Q.S. al-Falaq dan Q.S. al-Fil dengan baik dan benar .  Perlu bimbingan dalam memahami makna iman kepada malaikat-malaikat Allah berdasarkan pengamatan terhadap dirinya dan alam sekitar. </v>
          </cell>
        </row>
        <row r="52">
          <cell r="B52">
            <v>49</v>
          </cell>
          <cell r="C52" t="str">
            <v>SHIAM SAHARA</v>
          </cell>
          <cell r="D52">
            <v>89.67916666666666</v>
          </cell>
          <cell r="E52" t="str">
            <v>A</v>
          </cell>
          <cell r="F52" t="str">
            <v xml:space="preserve">Ananda Shiam Sahara sangat baik dalam memahami makna Q.S. al-Falaq dan Q.S. al-Fil dengan baik dan benar .  Perlu bimbingan dalam memahami makna iman kepada malaikat-malaikat Allah berdasarkan pengamatan terhadap dirinya dan alam sekitar. </v>
          </cell>
        </row>
        <row r="53">
          <cell r="B53">
            <v>50</v>
          </cell>
          <cell r="C53" t="str">
            <v>SUSAN APRILIA PUTRI</v>
          </cell>
          <cell r="D53">
            <v>89.67916666666666</v>
          </cell>
          <cell r="E53" t="str">
            <v>A</v>
          </cell>
          <cell r="F53" t="str">
            <v xml:space="preserve">Ananda Susan Aprilia Putri sangat baik dalam memahami makna Q.S. al-Falaq dan Q.S. al-Fil dengan baik dan benar .  Perlu bimbingan dalam memahami makna iman kepada malaikat-malaikat Allah berdasarkan pengamatan terhadap dirinya dan alam sekitar. </v>
          </cell>
        </row>
      </sheetData>
      <sheetData sheetId="27"/>
      <sheetData sheetId="28">
        <row r="4">
          <cell r="B4">
            <v>1</v>
          </cell>
          <cell r="C4" t="str">
            <v>AZKA AFINA KHOIRUL IZA</v>
          </cell>
          <cell r="D4">
            <v>95.119047619047606</v>
          </cell>
          <cell r="E4" t="str">
            <v>A</v>
          </cell>
          <cell r="F4" t="str">
            <v xml:space="preserve">Ananda Azka Afina Khoirul Iza sangat baik dalam Menerapkan variasi dan kombinasi berbagai pola gerak dominan (bertumpu, bergantung, keseimbangan, berpindah/lokomotor, tolakan, putaran, ayunan, melayang, dan mendarat) dalam aktivitas senam lantai.  Sangat </v>
          </cell>
        </row>
        <row r="5">
          <cell r="B5">
            <v>2</v>
          </cell>
          <cell r="C5" t="str">
            <v>BAGUS WIDA KANAKA</v>
          </cell>
          <cell r="D5">
            <v>78.642857142857139</v>
          </cell>
          <cell r="E5" t="str">
            <v>C</v>
          </cell>
          <cell r="F5" t="str">
            <v>Ananda Bagus Wida Kanaka sangat baik dalam Memahami variasi gerak dasar lokomotor, non-lokomotor, dan manipulatif sesuai dengan konsep tubuh, ruang, usaha, dan keterhubungan dalam permainan bola besar sederhana dan atau tradisional*.  Perlu bimbingan dala</v>
          </cell>
        </row>
        <row r="6">
          <cell r="B6">
            <v>3</v>
          </cell>
          <cell r="C6" t="str">
            <v>DENI FIRYA ATHALLAH PRADINAYA</v>
          </cell>
          <cell r="D6">
            <v>87.119047619047606</v>
          </cell>
          <cell r="E6" t="str">
            <v>B</v>
          </cell>
          <cell r="F6"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7">
          <cell r="B7">
            <v>4</v>
          </cell>
          <cell r="C7" t="str">
            <v>DEWI GALUH MULANSARI</v>
          </cell>
          <cell r="D7">
            <v>87.119047619047606</v>
          </cell>
          <cell r="E7" t="str">
            <v>B</v>
          </cell>
          <cell r="F7" t="str">
            <v>Ananda Dewi Galuh Mulansari sangat baik dalam Menerapkan variasi dan kombinasi berbagai pola gerak dominan (bertumpu, bergantung, keseimbangan, berpindah/lokomotor, tolakan, putaran, ayunan, melayang, dan mendarat) dalam aktivitas senam lantai.  Perlu bim</v>
          </cell>
        </row>
        <row r="8">
          <cell r="B8">
            <v>5</v>
          </cell>
          <cell r="C8" t="str">
            <v>DIAN PUJI LESTARI</v>
          </cell>
          <cell r="D8">
            <v>87.119047619047606</v>
          </cell>
          <cell r="E8" t="str">
            <v>B</v>
          </cell>
          <cell r="F8" t="str">
            <v>Ananda Dian Puji Lestari sangat baik dalam Menerapkan variasi dan kombinasi berbagai pola gerak dominan (bertumpu, bergantung, keseimbangan, berpindah/lokomotor, tolakan, putaran, ayunan, melayang, dan mendarat) dalam aktivitas senam lantai.  Perlu bimbin</v>
          </cell>
        </row>
        <row r="9">
          <cell r="B9">
            <v>6</v>
          </cell>
          <cell r="C9" t="str">
            <v>Hafidz Langgeng Prasetyo</v>
          </cell>
          <cell r="D9">
            <v>87.119047619047606</v>
          </cell>
          <cell r="E9" t="str">
            <v>B</v>
          </cell>
          <cell r="F9" t="str">
            <v>Ananda Hafidz Langgeng Prasetyo sangat baik dalam Menerapkan variasi dan kombinasi berbagai pola gerak dominan (bertumpu, bergantung, keseimbangan, berpindah/lokomotor, tolakan, putaran, ayunan, melayang, dan mendarat) dalam aktivitas senam lantai.  Perlu</v>
          </cell>
        </row>
        <row r="10">
          <cell r="B10">
            <v>7</v>
          </cell>
          <cell r="C10" t="str">
            <v>JALU ARTHA AJI MANGGALA HANDOKO</v>
          </cell>
          <cell r="D10">
            <v>87.119047619047606</v>
          </cell>
          <cell r="E10" t="str">
            <v>B</v>
          </cell>
          <cell r="F10" t="str">
            <v>Ananda Jalu Artha Aji Manggala Handoko sangat baik dalam Menerapkan variasi dan kombinasi berbagai pola gerak dominan (bertumpu, bergantung, keseimbangan, berpindah/lokomotor, tolakan, putaran, ayunan, melayang, dan mendarat) dalam aktivitas senam lantai.</v>
          </cell>
        </row>
        <row r="11">
          <cell r="B11">
            <v>8</v>
          </cell>
          <cell r="C11" t="str">
            <v>LAURENDHO RADIEFCA MURDIONO</v>
          </cell>
          <cell r="D11">
            <v>87.119047619047606</v>
          </cell>
          <cell r="E11" t="str">
            <v>B</v>
          </cell>
          <cell r="F11" t="str">
            <v>Ananda Laurendho Radiefca Murdiono sangat baik dalam Menerapkan variasi dan kombinasi berbagai pola gerak dominan (bertumpu, bergantung, keseimbangan, berpindah/lokomotor, tolakan, putaran, ayunan, melayang, dan mendarat) dalam aktivitas senam lantai.  Pe</v>
          </cell>
        </row>
        <row r="12">
          <cell r="B12">
            <v>9</v>
          </cell>
          <cell r="C12" t="str">
            <v>MARSYA MAYDINA DWI RISQITA</v>
          </cell>
          <cell r="D12">
            <v>87.119047619047606</v>
          </cell>
          <cell r="E12" t="str">
            <v>B</v>
          </cell>
          <cell r="F12" t="str">
            <v>Ananda Marsya Maydina Dwi Risqita sangat baik dalam Menerapkan variasi dan kombinasi berbagai pola gerak dominan (bertumpu, bergantung, keseimbangan, berpindah/lokomotor, tolakan, putaran, ayunan, melayang, dan mendarat) dalam aktivitas senam lantai.  Per</v>
          </cell>
        </row>
        <row r="13">
          <cell r="B13">
            <v>10</v>
          </cell>
          <cell r="C13" t="str">
            <v>MILA SARASWATI</v>
          </cell>
          <cell r="D13">
            <v>87.119047619047606</v>
          </cell>
          <cell r="E13" t="str">
            <v>B</v>
          </cell>
          <cell r="F13" t="str">
            <v>Ananda Mila Saraswati sangat baik dalam Menerapkan variasi dan kombinasi berbagai pola gerak dominan (bertumpu, bergantung, keseimbangan, berpindah/lokomotor, tolakan, putaran, ayunan, melayang, dan mendarat) dalam aktivitas senam lantai.  Perlu bimbingan</v>
          </cell>
        </row>
        <row r="14">
          <cell r="B14">
            <v>11</v>
          </cell>
          <cell r="C14" t="str">
            <v>MUHAMMAD ARKAN ALLY RACHMAD</v>
          </cell>
          <cell r="D14">
            <v>87.119047619047606</v>
          </cell>
          <cell r="E14" t="str">
            <v>B</v>
          </cell>
          <cell r="F14" t="str">
            <v>Ananda Muhammad Arkan Ally Rachmad sangat baik dalam Menerapkan variasi dan kombinasi berbagai pola gerak dominan (bertumpu, bergantung, keseimbangan, berpindah/lokomotor, tolakan, putaran, ayunan, melayang, dan mendarat) dalam aktivitas senam lantai.  Pe</v>
          </cell>
        </row>
        <row r="15">
          <cell r="B15">
            <v>12</v>
          </cell>
          <cell r="C15" t="str">
            <v>MUHAMMAD REVIAN ABDULLOH FAQIH</v>
          </cell>
          <cell r="D15">
            <v>87.119047619047606</v>
          </cell>
          <cell r="E15" t="str">
            <v>B</v>
          </cell>
          <cell r="F15"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16">
          <cell r="B16">
            <v>13</v>
          </cell>
          <cell r="C16" t="str">
            <v>NABILA AYUNINGTIAS</v>
          </cell>
          <cell r="D16">
            <v>87.119047619047606</v>
          </cell>
          <cell r="E16" t="str">
            <v>B</v>
          </cell>
          <cell r="F16" t="str">
            <v>Ananda Nabila Ayuningtias sangat baik dalam Menerapkan variasi dan kombinasi berbagai pola gerak dominan (bertumpu, bergantung, keseimbangan, berpindah/lokomotor, tolakan, putaran, ayunan, melayang, dan mendarat) dalam aktivitas senam lantai.  Perlu bimbi</v>
          </cell>
        </row>
        <row r="17">
          <cell r="B17">
            <v>14</v>
          </cell>
          <cell r="C17" t="str">
            <v>NARESWARI MASAYU PUSPANINGRUM</v>
          </cell>
          <cell r="D17">
            <v>87.119047619047606</v>
          </cell>
          <cell r="E17" t="str">
            <v>B</v>
          </cell>
          <cell r="F17"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18">
          <cell r="B18">
            <v>15</v>
          </cell>
          <cell r="C18" t="str">
            <v>NOVA SASMYTA</v>
          </cell>
          <cell r="D18">
            <v>87.119047619047606</v>
          </cell>
          <cell r="E18" t="str">
            <v>B</v>
          </cell>
          <cell r="F18" t="str">
            <v>Ananda Nova Sasmyta sangat baik dalam Menerapkan variasi dan kombinasi berbagai pola gerak dominan (bertumpu, bergantung, keseimbangan, berpindah/lokomotor, tolakan, putaran, ayunan, melayang, dan mendarat) dalam aktivitas senam lantai.  Perlu bimbingan d</v>
          </cell>
        </row>
        <row r="19">
          <cell r="B19">
            <v>16</v>
          </cell>
          <cell r="C19" t="str">
            <v>RIDHA RAHMATUL AULA RIDWAN</v>
          </cell>
          <cell r="D19">
            <v>87.119047619047606</v>
          </cell>
          <cell r="E19" t="str">
            <v>B</v>
          </cell>
          <cell r="F19" t="str">
            <v>Ananda Ridha Rahmatul Aula Ridwan sangat baik dalam Menerapkan variasi dan kombinasi berbagai pola gerak dominan (bertumpu, bergantung, keseimbangan, berpindah/lokomotor, tolakan, putaran, ayunan, melayang, dan mendarat) dalam aktivitas senam lantai.  Per</v>
          </cell>
        </row>
        <row r="20">
          <cell r="B20">
            <v>17</v>
          </cell>
          <cell r="C20" t="str">
            <v>RIFDA SALSABILA PURNAMA</v>
          </cell>
          <cell r="D20">
            <v>87.119047619047606</v>
          </cell>
          <cell r="E20" t="str">
            <v>B</v>
          </cell>
          <cell r="F20"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21">
          <cell r="B21">
            <v>18</v>
          </cell>
          <cell r="C21" t="str">
            <v>RIZKI INTAN KURNIAENDAH</v>
          </cell>
          <cell r="D21">
            <v>87.119047619047606</v>
          </cell>
          <cell r="E21" t="str">
            <v>B</v>
          </cell>
          <cell r="F21"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22">
          <cell r="B22">
            <v>19</v>
          </cell>
          <cell r="C22" t="str">
            <v>RIZKY FIRMANSYAH</v>
          </cell>
          <cell r="D22">
            <v>87.119047619047606</v>
          </cell>
          <cell r="E22" t="str">
            <v>B</v>
          </cell>
          <cell r="F22" t="str">
            <v>Ananda Rizky Firmansyah sangat baik dalam Menerapkan variasi dan kombinasi berbagai pola gerak dominan (bertumpu, bergantung, keseimbangan, berpindah/lokomotor, tolakan, putaran, ayunan, melayang, dan mendarat) dalam aktivitas senam lantai.  Perlu bimbing</v>
          </cell>
        </row>
        <row r="23">
          <cell r="B23">
            <v>20</v>
          </cell>
          <cell r="C23" t="str">
            <v>SAFIRA NUR LAYLA RAMADHANI</v>
          </cell>
          <cell r="D23">
            <v>87.119047619047606</v>
          </cell>
          <cell r="E23" t="str">
            <v>B</v>
          </cell>
          <cell r="F23" t="str">
            <v>Ananda Safira Nur Layla Ramadhani sangat baik dalam Menerapkan variasi dan kombinasi berbagai pola gerak dominan (bertumpu, bergantung, keseimbangan, berpindah/lokomotor, tolakan, putaran, ayunan, melayang, dan mendarat) dalam aktivitas senam lantai.  Per</v>
          </cell>
        </row>
        <row r="24">
          <cell r="B24">
            <v>21</v>
          </cell>
          <cell r="C24" t="str">
            <v>SHANASTRI RUFAIDA</v>
          </cell>
          <cell r="D24">
            <v>87.119047619047606</v>
          </cell>
          <cell r="E24" t="str">
            <v>B</v>
          </cell>
          <cell r="F24" t="str">
            <v>Ananda Shanastri Rufaida sangat baik dalam Menerapkan variasi dan kombinasi berbagai pola gerak dominan (bertumpu, bergantung, keseimbangan, berpindah/lokomotor, tolakan, putaran, ayunan, melayang, dan mendarat) dalam aktivitas senam lantai.  Perlu bimbin</v>
          </cell>
        </row>
        <row r="25">
          <cell r="B25">
            <v>22</v>
          </cell>
          <cell r="C25" t="str">
            <v>SHIAM SAHARA</v>
          </cell>
          <cell r="D25">
            <v>87.119047619047606</v>
          </cell>
          <cell r="E25" t="str">
            <v>B</v>
          </cell>
          <cell r="F25" t="str">
            <v>Ananda Shiam Sahara sangat baik dalam Menerapkan variasi dan kombinasi berbagai pola gerak dominan (bertumpu, bergantung, keseimbangan, berpindah/lokomotor, tolakan, putaran, ayunan, melayang, dan mendarat) dalam aktivitas senam lantai.  Perlu bimbingan d</v>
          </cell>
        </row>
        <row r="26">
          <cell r="B26">
            <v>23</v>
          </cell>
          <cell r="C26" t="str">
            <v>SUSAN APRILIA PUTRI</v>
          </cell>
          <cell r="D26">
            <v>87.119047619047606</v>
          </cell>
          <cell r="E26" t="str">
            <v>B</v>
          </cell>
          <cell r="F26" t="str">
            <v>Ananda Susan Aprilia Putri sangat baik dalam Menerapkan variasi dan kombinasi berbagai pola gerak dominan (bertumpu, bergantung, keseimbangan, berpindah/lokomotor, tolakan, putaran, ayunan, melayang, dan mendarat) dalam aktivitas senam lantai.  Perlu bimb</v>
          </cell>
        </row>
        <row r="27">
          <cell r="B27">
            <v>24</v>
          </cell>
          <cell r="C27" t="str">
            <v>SYIFAUL CHUSNA BANATU ROHMI HADI</v>
          </cell>
          <cell r="D27">
            <v>87.119047619047606</v>
          </cell>
          <cell r="E27" t="str">
            <v>B</v>
          </cell>
          <cell r="F27" t="str">
            <v>Ananda Syifaul Chusna Banatu Rohmi Hadi sangat baik dalam Menerapkan variasi dan kombinasi berbagai pola gerak dominan (bertumpu, bergantung, keseimbangan, berpindah/lokomotor, tolakan, putaran, ayunan, melayang, dan mendarat) dalam aktivitas senam lantai</v>
          </cell>
        </row>
        <row r="28">
          <cell r="B28">
            <v>25</v>
          </cell>
          <cell r="C28" t="str">
            <v>VANESSA VICKY AYU LESTARI</v>
          </cell>
          <cell r="D28">
            <v>87.119047619047606</v>
          </cell>
          <cell r="E28" t="str">
            <v>B</v>
          </cell>
          <cell r="F28" t="str">
            <v>Ananda Vanessa Vicky Ayu Lestari sangat baik dalam Menerapkan variasi dan kombinasi berbagai pola gerak dominan (bertumpu, bergantung, keseimbangan, berpindah/lokomotor, tolakan, putaran, ayunan, melayang, dan mendarat) dalam aktivitas senam lantai.  Perl</v>
          </cell>
        </row>
        <row r="29">
          <cell r="B29">
            <v>26</v>
          </cell>
          <cell r="C29" t="str">
            <v>WIBI NUR FIRMANSYAH</v>
          </cell>
          <cell r="D29">
            <v>87.119047619047606</v>
          </cell>
          <cell r="E29" t="str">
            <v>B</v>
          </cell>
          <cell r="F29" t="str">
            <v>Ananda Wibi Nur Firmansyah sangat baik dalam Menerapkan variasi dan kombinasi berbagai pola gerak dominan (bertumpu, bergantung, keseimbangan, berpindah/lokomotor, tolakan, putaran, ayunan, melayang, dan mendarat) dalam aktivitas senam lantai.  Perlu bimb</v>
          </cell>
        </row>
        <row r="30">
          <cell r="B30">
            <v>27</v>
          </cell>
          <cell r="C30" t="str">
            <v>ZULFIDA NURUL MAZIDAH</v>
          </cell>
          <cell r="D30">
            <v>87.119047619047606</v>
          </cell>
          <cell r="E30" t="str">
            <v>B</v>
          </cell>
          <cell r="F30" t="str">
            <v>Ananda Zulfida Nurul Mazidah sangat baik dalam Menerapkan variasi dan kombinasi berbagai pola gerak dominan (bertumpu, bergantung, keseimbangan, berpindah/lokomotor, tolakan, putaran, ayunan, melayang, dan mendarat) dalam aktivitas senam lantai.  Perlu bi</v>
          </cell>
        </row>
        <row r="31">
          <cell r="B31">
            <v>28</v>
          </cell>
          <cell r="C31" t="str">
            <v>AZKA AFINA KHOIRUL IZA</v>
          </cell>
          <cell r="D31">
            <v>87.119047619047606</v>
          </cell>
          <cell r="E31" t="str">
            <v>B</v>
          </cell>
          <cell r="F31" t="str">
            <v>Ananda Azka Afina Khoirul Iza sangat baik dalam Menerapkan variasi dan kombinasi berbagai pola gerak dominan (bertumpu, bergantung, keseimbangan, berpindah/lokomotor, tolakan, putaran, ayunan, melayang, dan mendarat) dalam aktivitas senam lantai.  Perlu b</v>
          </cell>
        </row>
        <row r="32">
          <cell r="B32">
            <v>29</v>
          </cell>
          <cell r="C32" t="str">
            <v>BAGUS WIDA KANAKA</v>
          </cell>
          <cell r="D32">
            <v>87.119047619047606</v>
          </cell>
          <cell r="E32" t="str">
            <v>B</v>
          </cell>
          <cell r="F32" t="str">
            <v>Ananda Bagus Wida Kanaka sangat baik dalam Menerapkan variasi dan kombinasi berbagai pola gerak dominan (bertumpu, bergantung, keseimbangan, berpindah/lokomotor, tolakan, putaran, ayunan, melayang, dan mendarat) dalam aktivitas senam lantai.  Perlu bimbin</v>
          </cell>
        </row>
        <row r="33">
          <cell r="B33">
            <v>30</v>
          </cell>
          <cell r="C33" t="str">
            <v>DENI FIRYA ATHALLAH PRADINAYA</v>
          </cell>
          <cell r="D33">
            <v>87.119047619047606</v>
          </cell>
          <cell r="E33" t="str">
            <v>B</v>
          </cell>
          <cell r="F33"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34">
          <cell r="B34">
            <v>31</v>
          </cell>
          <cell r="C34" t="str">
            <v>DEWI GALUH MULANSARI</v>
          </cell>
          <cell r="D34">
            <v>87.119047619047606</v>
          </cell>
          <cell r="E34" t="str">
            <v>B</v>
          </cell>
          <cell r="F34" t="str">
            <v>Ananda Dewi Galuh Mulansari sangat baik dalam Menerapkan variasi dan kombinasi berbagai pola gerak dominan (bertumpu, bergantung, keseimbangan, berpindah/lokomotor, tolakan, putaran, ayunan, melayang, dan mendarat) dalam aktivitas senam lantai.  Perlu bim</v>
          </cell>
        </row>
        <row r="35">
          <cell r="B35">
            <v>32</v>
          </cell>
          <cell r="C35" t="str">
            <v>DIAN PUJI LESTARI</v>
          </cell>
          <cell r="D35">
            <v>87.119047619047606</v>
          </cell>
          <cell r="E35" t="str">
            <v>B</v>
          </cell>
          <cell r="F35" t="str">
            <v>Ananda Dian Puji Lestari sangat baik dalam Menerapkan variasi dan kombinasi berbagai pola gerak dominan (bertumpu, bergantung, keseimbangan, berpindah/lokomotor, tolakan, putaran, ayunan, melayang, dan mendarat) dalam aktivitas senam lantai.  Perlu bimbin</v>
          </cell>
        </row>
        <row r="36">
          <cell r="B36">
            <v>33</v>
          </cell>
          <cell r="C36" t="str">
            <v>Hafidz Langgeng Prasetyo</v>
          </cell>
          <cell r="D36">
            <v>87.119047619047606</v>
          </cell>
          <cell r="E36" t="str">
            <v>B</v>
          </cell>
          <cell r="F36" t="str">
            <v>Ananda Hafidz Langgeng Prasetyo sangat baik dalam Menerapkan variasi dan kombinasi berbagai pola gerak dominan (bertumpu, bergantung, keseimbangan, berpindah/lokomotor, tolakan, putaran, ayunan, melayang, dan mendarat) dalam aktivitas senam lantai.  Perlu</v>
          </cell>
        </row>
        <row r="37">
          <cell r="B37">
            <v>34</v>
          </cell>
          <cell r="C37" t="str">
            <v>JALU ARTHA AJI MANGGALA HANDOKO</v>
          </cell>
          <cell r="D37">
            <v>87.119047619047606</v>
          </cell>
          <cell r="E37" t="str">
            <v>B</v>
          </cell>
          <cell r="F37" t="str">
            <v>Ananda Jalu Artha Aji Manggala Handoko sangat baik dalam Menerapkan variasi dan kombinasi berbagai pola gerak dominan (bertumpu, bergantung, keseimbangan, berpindah/lokomotor, tolakan, putaran, ayunan, melayang, dan mendarat) dalam aktivitas senam lantai.</v>
          </cell>
        </row>
        <row r="38">
          <cell r="B38">
            <v>35</v>
          </cell>
          <cell r="C38" t="str">
            <v>LAURENDHO RADIEFCA MURDIONO</v>
          </cell>
          <cell r="D38">
            <v>87.119047619047606</v>
          </cell>
          <cell r="E38" t="str">
            <v>B</v>
          </cell>
          <cell r="F38" t="str">
            <v>Ananda Laurendho Radiefca Murdiono sangat baik dalam Menerapkan variasi dan kombinasi berbagai pola gerak dominan (bertumpu, bergantung, keseimbangan, berpindah/lokomotor, tolakan, putaran, ayunan, melayang, dan mendarat) dalam aktivitas senam lantai.  Pe</v>
          </cell>
        </row>
        <row r="39">
          <cell r="B39">
            <v>36</v>
          </cell>
          <cell r="C39" t="str">
            <v>MARSYA MAYDINA DWI RISQITA</v>
          </cell>
          <cell r="D39">
            <v>87.119047619047606</v>
          </cell>
          <cell r="E39" t="str">
            <v>B</v>
          </cell>
          <cell r="F39" t="str">
            <v>Ananda Marsya Maydina Dwi Risqita sangat baik dalam Menerapkan variasi dan kombinasi berbagai pola gerak dominan (bertumpu, bergantung, keseimbangan, berpindah/lokomotor, tolakan, putaran, ayunan, melayang, dan mendarat) dalam aktivitas senam lantai.  Per</v>
          </cell>
        </row>
        <row r="40">
          <cell r="B40">
            <v>37</v>
          </cell>
          <cell r="C40" t="str">
            <v>MILA SARASWATI</v>
          </cell>
          <cell r="D40">
            <v>87.119047619047606</v>
          </cell>
          <cell r="E40" t="str">
            <v>B</v>
          </cell>
          <cell r="F40" t="str">
            <v>Ananda Mila Saraswati sangat baik dalam Menerapkan variasi dan kombinasi berbagai pola gerak dominan (bertumpu, bergantung, keseimbangan, berpindah/lokomotor, tolakan, putaran, ayunan, melayang, dan mendarat) dalam aktivitas senam lantai.  Perlu bimbingan</v>
          </cell>
        </row>
        <row r="41">
          <cell r="B41">
            <v>38</v>
          </cell>
          <cell r="C41" t="str">
            <v>MUHAMMAD ARKAN ALLY RACHMAD</v>
          </cell>
          <cell r="D41">
            <v>87.119047619047606</v>
          </cell>
          <cell r="E41" t="str">
            <v>B</v>
          </cell>
          <cell r="F41" t="str">
            <v>Ananda Muhammad Arkan Ally Rachmad sangat baik dalam Menerapkan variasi dan kombinasi berbagai pola gerak dominan (bertumpu, bergantung, keseimbangan, berpindah/lokomotor, tolakan, putaran, ayunan, melayang, dan mendarat) dalam aktivitas senam lantai.  Pe</v>
          </cell>
        </row>
        <row r="42">
          <cell r="B42">
            <v>39</v>
          </cell>
          <cell r="C42" t="str">
            <v>MUHAMMAD REVIAN ABDULLOH FAQIH</v>
          </cell>
          <cell r="D42">
            <v>87.119047619047606</v>
          </cell>
          <cell r="E42" t="str">
            <v>B</v>
          </cell>
          <cell r="F42"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43">
          <cell r="B43">
            <v>40</v>
          </cell>
          <cell r="C43" t="str">
            <v>NABILA AYUNINGTIAS</v>
          </cell>
          <cell r="D43">
            <v>87.119047619047606</v>
          </cell>
          <cell r="E43" t="str">
            <v>B</v>
          </cell>
          <cell r="F43" t="str">
            <v>Ananda Nabila Ayuningtias sangat baik dalam Menerapkan variasi dan kombinasi berbagai pola gerak dominan (bertumpu, bergantung, keseimbangan, berpindah/lokomotor, tolakan, putaran, ayunan, melayang, dan mendarat) dalam aktivitas senam lantai.  Perlu bimbi</v>
          </cell>
        </row>
        <row r="44">
          <cell r="B44">
            <v>41</v>
          </cell>
          <cell r="C44" t="str">
            <v>NARESWARI MASAYU PUSPANINGRUM</v>
          </cell>
          <cell r="D44">
            <v>87.119047619047606</v>
          </cell>
          <cell r="E44" t="str">
            <v>B</v>
          </cell>
          <cell r="F44"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45">
          <cell r="B45">
            <v>42</v>
          </cell>
          <cell r="C45" t="str">
            <v>NOVA SASMYTA</v>
          </cell>
          <cell r="D45">
            <v>87.119047619047606</v>
          </cell>
          <cell r="E45" t="str">
            <v>B</v>
          </cell>
          <cell r="F45" t="str">
            <v>Ananda Nova Sasmyta sangat baik dalam Menerapkan variasi dan kombinasi berbagai pola gerak dominan (bertumpu, bergantung, keseimbangan, berpindah/lokomotor, tolakan, putaran, ayunan, melayang, dan mendarat) dalam aktivitas senam lantai.  Perlu bimbingan d</v>
          </cell>
        </row>
        <row r="46">
          <cell r="B46">
            <v>43</v>
          </cell>
          <cell r="C46" t="str">
            <v>RIDHA RAHMATUL AULA RIDWAN</v>
          </cell>
          <cell r="D46">
            <v>87.119047619047606</v>
          </cell>
          <cell r="E46" t="str">
            <v>B</v>
          </cell>
          <cell r="F46" t="str">
            <v>Ananda Ridha Rahmatul Aula Ridwan sangat baik dalam Menerapkan variasi dan kombinasi berbagai pola gerak dominan (bertumpu, bergantung, keseimbangan, berpindah/lokomotor, tolakan, putaran, ayunan, melayang, dan mendarat) dalam aktivitas senam lantai.  Per</v>
          </cell>
        </row>
        <row r="47">
          <cell r="B47">
            <v>44</v>
          </cell>
          <cell r="C47" t="str">
            <v>RIFDA SALSABILA PURNAMA</v>
          </cell>
          <cell r="D47">
            <v>87.119047619047606</v>
          </cell>
          <cell r="E47" t="str">
            <v>B</v>
          </cell>
          <cell r="F47"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48">
          <cell r="B48">
            <v>45</v>
          </cell>
          <cell r="C48" t="str">
            <v>RIZKI INTAN KURNIAENDAH</v>
          </cell>
          <cell r="D48">
            <v>87.119047619047606</v>
          </cell>
          <cell r="E48" t="str">
            <v>B</v>
          </cell>
          <cell r="F48"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49">
          <cell r="B49">
            <v>46</v>
          </cell>
          <cell r="C49" t="str">
            <v>RIZKY FIRMANSYAH</v>
          </cell>
          <cell r="D49">
            <v>87.119047619047606</v>
          </cell>
          <cell r="E49" t="str">
            <v>B</v>
          </cell>
          <cell r="F49" t="str">
            <v>Ananda Rizky Firmansyah sangat baik dalam Menerapkan variasi dan kombinasi berbagai pola gerak dominan (bertumpu, bergantung, keseimbangan, berpindah/lokomotor, tolakan, putaran, ayunan, melayang, dan mendarat) dalam aktivitas senam lantai.  Perlu bimbing</v>
          </cell>
        </row>
        <row r="50">
          <cell r="B50">
            <v>47</v>
          </cell>
          <cell r="C50" t="str">
            <v>SAFIRA NUR LAYLA RAMADHANI</v>
          </cell>
          <cell r="D50">
            <v>87.119047619047606</v>
          </cell>
          <cell r="E50" t="str">
            <v>B</v>
          </cell>
          <cell r="F50" t="str">
            <v>Ananda Safira Nur Layla Ramadhani sangat baik dalam Menerapkan variasi dan kombinasi berbagai pola gerak dominan (bertumpu, bergantung, keseimbangan, berpindah/lokomotor, tolakan, putaran, ayunan, melayang, dan mendarat) dalam aktivitas senam lantai.  Per</v>
          </cell>
        </row>
        <row r="51">
          <cell r="B51">
            <v>48</v>
          </cell>
          <cell r="C51" t="str">
            <v>SHANASTRI RUFAIDA</v>
          </cell>
          <cell r="D51">
            <v>87.119047619047606</v>
          </cell>
          <cell r="E51" t="str">
            <v>B</v>
          </cell>
          <cell r="F51" t="str">
            <v>Ananda Shanastri Rufaida sangat baik dalam Menerapkan variasi dan kombinasi berbagai pola gerak dominan (bertumpu, bergantung, keseimbangan, berpindah/lokomotor, tolakan, putaran, ayunan, melayang, dan mendarat) dalam aktivitas senam lantai.  Perlu bimbin</v>
          </cell>
        </row>
        <row r="52">
          <cell r="B52">
            <v>49</v>
          </cell>
          <cell r="C52" t="str">
            <v>SHIAM SAHARA</v>
          </cell>
          <cell r="D52">
            <v>87.119047619047606</v>
          </cell>
          <cell r="E52" t="str">
            <v>B</v>
          </cell>
          <cell r="F52" t="str">
            <v>Ananda Shiam Sahara sangat baik dalam Menerapkan variasi dan kombinasi berbagai pola gerak dominan (bertumpu, bergantung, keseimbangan, berpindah/lokomotor, tolakan, putaran, ayunan, melayang, dan mendarat) dalam aktivitas senam lantai.  Perlu bimbingan d</v>
          </cell>
        </row>
        <row r="53">
          <cell r="B53">
            <v>50</v>
          </cell>
          <cell r="C53" t="str">
            <v>SUSAN APRILIA PUTRI</v>
          </cell>
          <cell r="D53">
            <v>87.119047619047606</v>
          </cell>
          <cell r="E53" t="str">
            <v>B</v>
          </cell>
          <cell r="F53" t="str">
            <v>Ananda Susan Aprilia Putri sangat baik dalam Menerapkan variasi dan kombinasi berbagai pola gerak dominan (bertumpu, bergantung, keseimbangan, berpindah/lokomotor, tolakan, putaran, ayunan, melayang, dan mendarat) dalam aktivitas senam lantai.  Perlu bimb</v>
          </cell>
        </row>
      </sheetData>
      <sheetData sheetId="29"/>
      <sheetData sheetId="30">
        <row r="4">
          <cell r="B4">
            <v>1</v>
          </cell>
          <cell r="C4" t="str">
            <v>AZKA AFINA KHOIRUL IZA</v>
          </cell>
          <cell r="D4">
            <v>90</v>
          </cell>
          <cell r="E4" t="str">
            <v>A</v>
          </cell>
          <cell r="F4" t="str">
            <v xml:space="preserve">Ananda Azka Afina Khoirul Iza sangat baik dalam C.  Sangat baik dalam C.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1"/>
      <sheetData sheetId="32">
        <row r="4">
          <cell r="B4">
            <v>1</v>
          </cell>
          <cell r="C4" t="str">
            <v>AZKA AFINA KHOIRUL IZA</v>
          </cell>
          <cell r="D4">
            <v>96.166666666666657</v>
          </cell>
          <cell r="E4" t="str">
            <v>A</v>
          </cell>
          <cell r="F4" t="str">
            <v xml:space="preserve">Ananda Azka Afina Khoirul Iza sangat baik dalam .  Sangat baik dalam .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3"/>
      <sheetData sheetId="34">
        <row r="4">
          <cell r="B4">
            <v>1</v>
          </cell>
          <cell r="C4" t="str">
            <v>AZKA AFINA KHOIRUL IZA</v>
          </cell>
          <cell r="D4">
            <v>96.166666666666657</v>
          </cell>
          <cell r="E4" t="str">
            <v>A</v>
          </cell>
          <cell r="F4" t="str">
            <v xml:space="preserve">Ananda Azka Afina Khoirul Iza sangat baik dalam Mengenal dan memahami sandhangan/pangangguy aksara Jawa/carakan Madura.  Sangat baik dalam Mengenal, memahami dan mengidentifikasi kata berimbuhan dalam teks sesuai kaidah. </v>
          </cell>
        </row>
        <row r="5">
          <cell r="B5">
            <v>2</v>
          </cell>
          <cell r="C5" t="str">
            <v>BAGUS WIDA KANAKA</v>
          </cell>
          <cell r="D5">
            <v>85.9</v>
          </cell>
          <cell r="E5" t="str">
            <v>B</v>
          </cell>
          <cell r="F5" t="str">
            <v xml:space="preserve">Ananda Bagus Wida Kanaka sangat baik dalam Mengenal, memahami, mengidentifikasi teks puisi modern dalam bentuk lisan dan tulis.  Perlu bimbingan dalam Mengenal, memahami dan mengidentifikasi kata berimbuhan dalam teks sesuai kaidah. </v>
          </cell>
        </row>
        <row r="6">
          <cell r="B6">
            <v>3</v>
          </cell>
          <cell r="C6" t="str">
            <v>DENI FIRYA ATHALLAH PRADINAYA</v>
          </cell>
          <cell r="D6">
            <v>93.766666666666666</v>
          </cell>
          <cell r="E6" t="str">
            <v>A</v>
          </cell>
          <cell r="F6" t="str">
            <v xml:space="preserve">Ananda Deni Firya Athallah Pradinaya sangat baik dalam Mengenal dan memahami sandhangan/pangangguy aksara Jawa/carakan Madura.  Cukup dalam Mengenal, memahami dan mengidentifikasi kata berimbuhan dalam teks sesuai kaidah. </v>
          </cell>
        </row>
        <row r="7">
          <cell r="B7">
            <v>4</v>
          </cell>
          <cell r="C7" t="str">
            <v>DEWI GALUH MULANSARI</v>
          </cell>
          <cell r="D7">
            <v>93.766666666666666</v>
          </cell>
          <cell r="E7" t="str">
            <v>A</v>
          </cell>
          <cell r="F7" t="str">
            <v xml:space="preserve">Ananda Dewi Galuh Mulansari sangat baik dalam Mengenal dan memahami sandhangan/pangangguy aksara Jawa/carakan Madura.  Cukup dalam Mengenal, memahami dan mengidentifikasi kata berimbuhan dalam teks sesuai kaidah. </v>
          </cell>
        </row>
        <row r="8">
          <cell r="B8">
            <v>5</v>
          </cell>
          <cell r="C8" t="str">
            <v>DIAN PUJI LESTARI</v>
          </cell>
          <cell r="D8">
            <v>93.766666666666666</v>
          </cell>
          <cell r="E8" t="str">
            <v>A</v>
          </cell>
          <cell r="F8" t="str">
            <v xml:space="preserve">Ananda Dian Puji Lestari sangat baik dalam Mengenal dan memahami sandhangan/pangangguy aksara Jawa/carakan Madura.  Cukup dalam Mengenal, memahami dan mengidentifikasi kata berimbuhan dalam teks sesuai kaidah. </v>
          </cell>
        </row>
        <row r="9">
          <cell r="B9">
            <v>6</v>
          </cell>
          <cell r="C9" t="str">
            <v>Hafidz Langgeng Prasetyo</v>
          </cell>
          <cell r="D9">
            <v>93.766666666666666</v>
          </cell>
          <cell r="E9" t="str">
            <v>A</v>
          </cell>
          <cell r="F9" t="str">
            <v xml:space="preserve">Ananda Hafidz Langgeng Prasetyo sangat baik dalam Mengenal dan memahami sandhangan/pangangguy aksara Jawa/carakan Madura.  Cukup dalam Mengenal, memahami dan mengidentifikasi kata berimbuhan dalam teks sesuai kaidah. </v>
          </cell>
        </row>
        <row r="10">
          <cell r="B10">
            <v>7</v>
          </cell>
          <cell r="C10" t="str">
            <v>JALU ARTHA AJI MANGGALA HANDOKO</v>
          </cell>
          <cell r="D10">
            <v>93.766666666666666</v>
          </cell>
          <cell r="E10" t="str">
            <v>A</v>
          </cell>
          <cell r="F10" t="str">
            <v xml:space="preserve">Ananda Jalu Artha Aji Manggala Handoko sangat baik dalam Mengenal dan memahami sandhangan/pangangguy aksara Jawa/carakan Madura.  Cukup dalam Mengenal, memahami dan mengidentifikasi kata berimbuhan dalam teks sesuai kaidah. </v>
          </cell>
        </row>
        <row r="11">
          <cell r="B11">
            <v>8</v>
          </cell>
          <cell r="C11" t="str">
            <v>LAURENDHO RADIEFCA MURDIONO</v>
          </cell>
          <cell r="D11">
            <v>93.766666666666666</v>
          </cell>
          <cell r="E11" t="str">
            <v>A</v>
          </cell>
          <cell r="F11" t="str">
            <v xml:space="preserve">Ananda Laurendho Radiefca Murdiono sangat baik dalam Mengenal dan memahami sandhangan/pangangguy aksara Jawa/carakan Madura.  Cukup dalam Mengenal, memahami dan mengidentifikasi kata berimbuhan dalam teks sesuai kaidah. </v>
          </cell>
        </row>
        <row r="12">
          <cell r="B12">
            <v>9</v>
          </cell>
          <cell r="C12" t="str">
            <v>MARSYA MAYDINA DWI RISQITA</v>
          </cell>
          <cell r="D12">
            <v>93.766666666666666</v>
          </cell>
          <cell r="E12" t="str">
            <v>A</v>
          </cell>
          <cell r="F12" t="str">
            <v xml:space="preserve">Ananda Marsya Maydina Dwi Risqita sangat baik dalam Mengenal dan memahami sandhangan/pangangguy aksara Jawa/carakan Madura.  Cukup dalam Mengenal, memahami dan mengidentifikasi kata berimbuhan dalam teks sesuai kaidah. </v>
          </cell>
        </row>
        <row r="13">
          <cell r="B13">
            <v>10</v>
          </cell>
          <cell r="C13" t="str">
            <v>MILA SARASWATI</v>
          </cell>
          <cell r="D13">
            <v>93.766666666666666</v>
          </cell>
          <cell r="E13" t="str">
            <v>A</v>
          </cell>
          <cell r="F13" t="str">
            <v xml:space="preserve">Ananda Mila Saraswati sangat baik dalam Mengenal dan memahami sandhangan/pangangguy aksara Jawa/carakan Madura.  Cukup dalam Mengenal, memahami dan mengidentifikasi kata berimbuhan dalam teks sesuai kaidah. </v>
          </cell>
        </row>
        <row r="14">
          <cell r="B14">
            <v>11</v>
          </cell>
          <cell r="C14" t="str">
            <v>MUHAMMAD ARKAN ALLY RACHMAD</v>
          </cell>
          <cell r="D14">
            <v>93.766666666666666</v>
          </cell>
          <cell r="E14" t="str">
            <v>A</v>
          </cell>
          <cell r="F14" t="str">
            <v xml:space="preserve">Ananda Muhammad Arkan Ally Rachmad sangat baik dalam Mengenal dan memahami sandhangan/pangangguy aksara Jawa/carakan Madura.  Cukup dalam Mengenal, memahami dan mengidentifikasi kata berimbuhan dalam teks sesuai kaidah. </v>
          </cell>
        </row>
        <row r="15">
          <cell r="B15">
            <v>12</v>
          </cell>
          <cell r="C15" t="str">
            <v>MUHAMMAD REVIAN ABDULLOH FAQIH</v>
          </cell>
          <cell r="D15">
            <v>93.766666666666666</v>
          </cell>
          <cell r="E15" t="str">
            <v>A</v>
          </cell>
          <cell r="F15" t="str">
            <v xml:space="preserve">Ananda Muhammad Revian Abdulloh Faqih sangat baik dalam Mengenal dan memahami sandhangan/pangangguy aksara Jawa/carakan Madura.  Cukup dalam Mengenal, memahami dan mengidentifikasi kata berimbuhan dalam teks sesuai kaidah. </v>
          </cell>
        </row>
        <row r="16">
          <cell r="B16">
            <v>13</v>
          </cell>
          <cell r="C16" t="str">
            <v>NABILA AYUNINGTIAS</v>
          </cell>
          <cell r="D16">
            <v>93.766666666666666</v>
          </cell>
          <cell r="E16" t="str">
            <v>A</v>
          </cell>
          <cell r="F16" t="str">
            <v xml:space="preserve">Ananda Nabila Ayuningtias sangat baik dalam Mengenal dan memahami sandhangan/pangangguy aksara Jawa/carakan Madura.  Cukup dalam Mengenal, memahami dan mengidentifikasi kata berimbuhan dalam teks sesuai kaidah. </v>
          </cell>
        </row>
        <row r="17">
          <cell r="B17">
            <v>14</v>
          </cell>
          <cell r="C17" t="str">
            <v>NARESWARI MASAYU PUSPANINGRUM</v>
          </cell>
          <cell r="D17">
            <v>93.766666666666666</v>
          </cell>
          <cell r="E17" t="str">
            <v>A</v>
          </cell>
          <cell r="F17" t="str">
            <v xml:space="preserve">Ananda Nareswari Masayu Puspaningrum sangat baik dalam Mengenal dan memahami sandhangan/pangangguy aksara Jawa/carakan Madura.  Cukup dalam Mengenal, memahami dan mengidentifikasi kata berimbuhan dalam teks sesuai kaidah. </v>
          </cell>
        </row>
        <row r="18">
          <cell r="B18">
            <v>15</v>
          </cell>
          <cell r="C18" t="str">
            <v>NOVA SASMYTA</v>
          </cell>
          <cell r="D18">
            <v>93.766666666666666</v>
          </cell>
          <cell r="E18" t="str">
            <v>A</v>
          </cell>
          <cell r="F18" t="str">
            <v xml:space="preserve">Ananda Nova Sasmyta sangat baik dalam Mengenal dan memahami sandhangan/pangangguy aksara Jawa/carakan Madura.  Cukup dalam Mengenal, memahami dan mengidentifikasi kata berimbuhan dalam teks sesuai kaidah. </v>
          </cell>
        </row>
        <row r="19">
          <cell r="B19">
            <v>16</v>
          </cell>
          <cell r="C19" t="str">
            <v>RIDHA RAHMATUL AULA RIDWAN</v>
          </cell>
          <cell r="D19">
            <v>93.766666666666666</v>
          </cell>
          <cell r="E19" t="str">
            <v>A</v>
          </cell>
          <cell r="F19" t="str">
            <v xml:space="preserve">Ananda Ridha Rahmatul Aula Ridwan sangat baik dalam Mengenal dan memahami sandhangan/pangangguy aksara Jawa/carakan Madura.  Cukup dalam Mengenal, memahami dan mengidentifikasi kata berimbuhan dalam teks sesuai kaidah. </v>
          </cell>
        </row>
        <row r="20">
          <cell r="B20">
            <v>17</v>
          </cell>
          <cell r="C20" t="str">
            <v>RIFDA SALSABILA PURNAMA</v>
          </cell>
          <cell r="D20">
            <v>93.766666666666666</v>
          </cell>
          <cell r="E20" t="str">
            <v>A</v>
          </cell>
          <cell r="F20" t="str">
            <v xml:space="preserve">Ananda Rifda Salsabila Purnama sangat baik dalam Mengenal dan memahami sandhangan/pangangguy aksara Jawa/carakan Madura.  Cukup dalam Mengenal, memahami dan mengidentifikasi kata berimbuhan dalam teks sesuai kaidah. </v>
          </cell>
        </row>
        <row r="21">
          <cell r="B21">
            <v>18</v>
          </cell>
          <cell r="C21" t="str">
            <v>RIZKI INTAN KURNIAENDAH</v>
          </cell>
          <cell r="D21">
            <v>93.766666666666666</v>
          </cell>
          <cell r="E21" t="str">
            <v>A</v>
          </cell>
          <cell r="F21" t="str">
            <v xml:space="preserve">Ananda Rizki Intan Kurniaendah sangat baik dalam Mengenal dan memahami sandhangan/pangangguy aksara Jawa/carakan Madura.  Cukup dalam Mengenal, memahami dan mengidentifikasi kata berimbuhan dalam teks sesuai kaidah. </v>
          </cell>
        </row>
        <row r="22">
          <cell r="B22">
            <v>19</v>
          </cell>
          <cell r="C22" t="str">
            <v>RIZKY FIRMANSYAH</v>
          </cell>
          <cell r="D22">
            <v>93.766666666666666</v>
          </cell>
          <cell r="E22" t="str">
            <v>A</v>
          </cell>
          <cell r="F22" t="str">
            <v xml:space="preserve">Ananda Rizky Firmansyah sangat baik dalam Mengenal dan memahami sandhangan/pangangguy aksara Jawa/carakan Madura.  Cukup dalam Mengenal, memahami dan mengidentifikasi kata berimbuhan dalam teks sesuai kaidah. </v>
          </cell>
        </row>
        <row r="23">
          <cell r="B23">
            <v>20</v>
          </cell>
          <cell r="C23" t="str">
            <v>SAFIRA NUR LAYLA RAMADHANI</v>
          </cell>
          <cell r="D23">
            <v>93.766666666666666</v>
          </cell>
          <cell r="E23" t="str">
            <v>A</v>
          </cell>
          <cell r="F23" t="str">
            <v xml:space="preserve">Ananda Safira Nur Layla Ramadhani sangat baik dalam Mengenal dan memahami sandhangan/pangangguy aksara Jawa/carakan Madura.  Cukup dalam Mengenal, memahami dan mengidentifikasi kata berimbuhan dalam teks sesuai kaidah. </v>
          </cell>
        </row>
        <row r="24">
          <cell r="B24">
            <v>21</v>
          </cell>
          <cell r="C24" t="str">
            <v>SHANASTRI RUFAIDA</v>
          </cell>
          <cell r="D24">
            <v>93.766666666666666</v>
          </cell>
          <cell r="E24" t="str">
            <v>A</v>
          </cell>
          <cell r="F24" t="str">
            <v xml:space="preserve">Ananda Shanastri Rufaida sangat baik dalam Mengenal dan memahami sandhangan/pangangguy aksara Jawa/carakan Madura.  Cukup dalam Mengenal, memahami dan mengidentifikasi kata berimbuhan dalam teks sesuai kaidah. </v>
          </cell>
        </row>
        <row r="25">
          <cell r="B25">
            <v>22</v>
          </cell>
          <cell r="C25" t="str">
            <v>SHIAM SAHARA</v>
          </cell>
          <cell r="D25">
            <v>93.766666666666666</v>
          </cell>
          <cell r="E25" t="str">
            <v>A</v>
          </cell>
          <cell r="F25" t="str">
            <v xml:space="preserve">Ananda Shiam Sahara sangat baik dalam Mengenal dan memahami sandhangan/pangangguy aksara Jawa/carakan Madura.  Cukup dalam Mengenal, memahami dan mengidentifikasi kata berimbuhan dalam teks sesuai kaidah. </v>
          </cell>
        </row>
        <row r="26">
          <cell r="B26">
            <v>23</v>
          </cell>
          <cell r="C26" t="str">
            <v>SUSAN APRILIA PUTRI</v>
          </cell>
          <cell r="D26">
            <v>93.766666666666666</v>
          </cell>
          <cell r="E26" t="str">
            <v>A</v>
          </cell>
          <cell r="F26" t="str">
            <v xml:space="preserve">Ananda Susan Aprilia Putri sangat baik dalam Mengenal dan memahami sandhangan/pangangguy aksara Jawa/carakan Madura.  Cukup dalam Mengenal, memahami dan mengidentifikasi kata berimbuhan dalam teks sesuai kaidah. </v>
          </cell>
        </row>
        <row r="27">
          <cell r="B27">
            <v>24</v>
          </cell>
          <cell r="C27" t="str">
            <v>SYIFAUL CHUSNA BANATU ROHMI HADI</v>
          </cell>
          <cell r="D27">
            <v>93.766666666666666</v>
          </cell>
          <cell r="E27" t="str">
            <v>A</v>
          </cell>
          <cell r="F27" t="str">
            <v xml:space="preserve">Ananda Syifaul Chusna Banatu Rohmi Hadi sangat baik dalam Mengenal dan memahami sandhangan/pangangguy aksara Jawa/carakan Madura.  Cukup dalam Mengenal, memahami dan mengidentifikasi kata berimbuhan dalam teks sesuai kaidah. </v>
          </cell>
        </row>
        <row r="28">
          <cell r="B28">
            <v>25</v>
          </cell>
          <cell r="C28" t="str">
            <v>VANESSA VICKY AYU LESTARI</v>
          </cell>
          <cell r="D28">
            <v>93.766666666666666</v>
          </cell>
          <cell r="E28" t="str">
            <v>A</v>
          </cell>
          <cell r="F28" t="str">
            <v xml:space="preserve">Ananda Vanessa Vicky Ayu Lestari sangat baik dalam Mengenal dan memahami sandhangan/pangangguy aksara Jawa/carakan Madura.  Cukup dalam Mengenal, memahami dan mengidentifikasi kata berimbuhan dalam teks sesuai kaidah. </v>
          </cell>
        </row>
        <row r="29">
          <cell r="B29">
            <v>26</v>
          </cell>
          <cell r="C29" t="str">
            <v>WIBI NUR FIRMANSYAH</v>
          </cell>
          <cell r="D29">
            <v>93.766666666666666</v>
          </cell>
          <cell r="E29" t="str">
            <v>A</v>
          </cell>
          <cell r="F29" t="str">
            <v xml:space="preserve">Ananda Wibi Nur Firmansyah sangat baik dalam Mengenal dan memahami sandhangan/pangangguy aksara Jawa/carakan Madura.  Cukup dalam Mengenal, memahami dan mengidentifikasi kata berimbuhan dalam teks sesuai kaidah. </v>
          </cell>
        </row>
        <row r="30">
          <cell r="B30">
            <v>27</v>
          </cell>
          <cell r="C30" t="str">
            <v>ZULFIDA NURUL MAZIDAH</v>
          </cell>
          <cell r="D30">
            <v>87.119047619047606</v>
          </cell>
          <cell r="E30" t="str">
            <v>B</v>
          </cell>
          <cell r="F30" t="str">
            <v xml:space="preserve">Ananda Zulfida Nurul Mazidah sangat baik dalam Mengenal dan memahami sandhangan/pangangguy aksara Jawa/carakan Madura.  Perlu bimbingan dalam . </v>
          </cell>
        </row>
        <row r="31">
          <cell r="B31">
            <v>28</v>
          </cell>
          <cell r="C31" t="str">
            <v>AZKA AFINA KHOIRUL IZA</v>
          </cell>
          <cell r="D31">
            <v>93.766666666666666</v>
          </cell>
          <cell r="E31" t="str">
            <v>A</v>
          </cell>
          <cell r="F31" t="str">
            <v xml:space="preserve">Ananda Azka Afina Khoirul Iza sangat baik dalam Mengenal dan memahami sandhangan/pangangguy aksara Jawa/carakan Madura.  Cukup dalam Mengenal, memahami dan mengidentifikasi kata berimbuhan dalam teks sesuai kaidah. </v>
          </cell>
        </row>
        <row r="32">
          <cell r="B32">
            <v>29</v>
          </cell>
          <cell r="C32" t="str">
            <v>BAGUS WIDA KANAKA</v>
          </cell>
          <cell r="D32">
            <v>93.766666666666666</v>
          </cell>
          <cell r="E32" t="str">
            <v>A</v>
          </cell>
          <cell r="F32" t="str">
            <v xml:space="preserve">Ananda Bagus Wida Kanaka sangat baik dalam Mengenal dan memahami sandhangan/pangangguy aksara Jawa/carakan Madura.  Cukup dalam Mengenal, memahami dan mengidentifikasi kata berimbuhan dalam teks sesuai kaidah. </v>
          </cell>
        </row>
        <row r="33">
          <cell r="B33">
            <v>30</v>
          </cell>
          <cell r="C33" t="str">
            <v>DENI FIRYA ATHALLAH PRADINAYA</v>
          </cell>
          <cell r="D33">
            <v>93.766666666666666</v>
          </cell>
          <cell r="E33" t="str">
            <v>A</v>
          </cell>
          <cell r="F33" t="str">
            <v xml:space="preserve">Ananda Deni Firya Athallah Pradinaya sangat baik dalam Mengenal dan memahami sandhangan/pangangguy aksara Jawa/carakan Madura.  Cukup dalam Mengenal, memahami dan mengidentifikasi kata berimbuhan dalam teks sesuai kaidah. </v>
          </cell>
        </row>
        <row r="34">
          <cell r="B34">
            <v>31</v>
          </cell>
          <cell r="C34" t="str">
            <v>DEWI GALUH MULANSARI</v>
          </cell>
          <cell r="D34">
            <v>93.766666666666666</v>
          </cell>
          <cell r="E34" t="str">
            <v>A</v>
          </cell>
          <cell r="F34" t="str">
            <v xml:space="preserve">Ananda Dewi Galuh Mulansari sangat baik dalam Mengenal dan memahami sandhangan/pangangguy aksara Jawa/carakan Madura.  Cukup dalam Mengenal, memahami dan mengidentifikasi kata berimbuhan dalam teks sesuai kaidah. </v>
          </cell>
        </row>
        <row r="35">
          <cell r="B35">
            <v>32</v>
          </cell>
          <cell r="C35" t="str">
            <v>DIAN PUJI LESTARI</v>
          </cell>
          <cell r="D35">
            <v>93.766666666666666</v>
          </cell>
          <cell r="E35" t="str">
            <v>A</v>
          </cell>
          <cell r="F35" t="str">
            <v xml:space="preserve">Ananda Dian Puji Lestari sangat baik dalam Mengenal dan memahami sandhangan/pangangguy aksara Jawa/carakan Madura.  Cukup dalam Mengenal, memahami dan mengidentifikasi kata berimbuhan dalam teks sesuai kaidah. </v>
          </cell>
        </row>
        <row r="36">
          <cell r="B36">
            <v>33</v>
          </cell>
          <cell r="C36" t="str">
            <v>Hafidz Langgeng Prasetyo</v>
          </cell>
          <cell r="D36">
            <v>93.766666666666666</v>
          </cell>
          <cell r="E36" t="str">
            <v>A</v>
          </cell>
          <cell r="F36" t="str">
            <v xml:space="preserve">Ananda Hafidz Langgeng Prasetyo sangat baik dalam Mengenal dan memahami sandhangan/pangangguy aksara Jawa/carakan Madura.  Cukup dalam Mengenal, memahami dan mengidentifikasi kata berimbuhan dalam teks sesuai kaidah. </v>
          </cell>
        </row>
        <row r="37">
          <cell r="B37">
            <v>34</v>
          </cell>
          <cell r="C37" t="str">
            <v>JALU ARTHA AJI MANGGALA HANDOKO</v>
          </cell>
          <cell r="D37">
            <v>93.766666666666666</v>
          </cell>
          <cell r="E37" t="str">
            <v>A</v>
          </cell>
          <cell r="F37" t="str">
            <v xml:space="preserve">Ananda Jalu Artha Aji Manggala Handoko sangat baik dalam Mengenal dan memahami sandhangan/pangangguy aksara Jawa/carakan Madura.  Cukup dalam Mengenal, memahami dan mengidentifikasi kata berimbuhan dalam teks sesuai kaidah. </v>
          </cell>
        </row>
        <row r="38">
          <cell r="B38">
            <v>35</v>
          </cell>
          <cell r="C38" t="str">
            <v>LAURENDHO RADIEFCA MURDIONO</v>
          </cell>
          <cell r="D38">
            <v>93.766666666666666</v>
          </cell>
          <cell r="E38" t="str">
            <v>A</v>
          </cell>
          <cell r="F38" t="str">
            <v xml:space="preserve">Ananda Laurendho Radiefca Murdiono sangat baik dalam Mengenal dan memahami sandhangan/pangangguy aksara Jawa/carakan Madura.  Cukup dalam Mengenal, memahami dan mengidentifikasi kata berimbuhan dalam teks sesuai kaidah. </v>
          </cell>
        </row>
        <row r="39">
          <cell r="B39">
            <v>36</v>
          </cell>
          <cell r="C39" t="str">
            <v>MARSYA MAYDINA DWI RISQITA</v>
          </cell>
          <cell r="D39">
            <v>93.766666666666666</v>
          </cell>
          <cell r="E39" t="str">
            <v>A</v>
          </cell>
          <cell r="F39" t="str">
            <v xml:space="preserve">Ananda Marsya Maydina Dwi Risqita sangat baik dalam Mengenal dan memahami sandhangan/pangangguy aksara Jawa/carakan Madura.  Cukup dalam Mengenal, memahami dan mengidentifikasi kata berimbuhan dalam teks sesuai kaidah. </v>
          </cell>
        </row>
        <row r="40">
          <cell r="B40">
            <v>37</v>
          </cell>
          <cell r="C40" t="str">
            <v>MILA SARASWATI</v>
          </cell>
          <cell r="D40">
            <v>93.766666666666666</v>
          </cell>
          <cell r="E40" t="str">
            <v>A</v>
          </cell>
          <cell r="F40" t="str">
            <v xml:space="preserve">Ananda Mila Saraswati sangat baik dalam Mengenal dan memahami sandhangan/pangangguy aksara Jawa/carakan Madura.  Cukup dalam Mengenal, memahami dan mengidentifikasi kata berimbuhan dalam teks sesuai kaidah. </v>
          </cell>
        </row>
        <row r="41">
          <cell r="B41">
            <v>38</v>
          </cell>
          <cell r="C41" t="str">
            <v>MUHAMMAD ARKAN ALLY RACHMAD</v>
          </cell>
          <cell r="D41">
            <v>93.766666666666666</v>
          </cell>
          <cell r="E41" t="str">
            <v>A</v>
          </cell>
          <cell r="F41" t="str">
            <v xml:space="preserve">Ananda Muhammad Arkan Ally Rachmad sangat baik dalam Mengenal dan memahami sandhangan/pangangguy aksara Jawa/carakan Madura.  Cukup dalam Mengenal, memahami dan mengidentifikasi kata berimbuhan dalam teks sesuai kaidah. </v>
          </cell>
        </row>
        <row r="42">
          <cell r="B42">
            <v>39</v>
          </cell>
          <cell r="C42" t="str">
            <v>MUHAMMAD REVIAN ABDULLOH FAQIH</v>
          </cell>
          <cell r="D42">
            <v>93.766666666666666</v>
          </cell>
          <cell r="E42" t="str">
            <v>A</v>
          </cell>
          <cell r="F42" t="str">
            <v xml:space="preserve">Ananda Muhammad Revian Abdulloh Faqih sangat baik dalam Mengenal dan memahami sandhangan/pangangguy aksara Jawa/carakan Madura.  Cukup dalam Mengenal, memahami dan mengidentifikasi kata berimbuhan dalam teks sesuai kaidah. </v>
          </cell>
        </row>
        <row r="43">
          <cell r="B43">
            <v>40</v>
          </cell>
          <cell r="C43" t="str">
            <v>NABILA AYUNINGTIAS</v>
          </cell>
          <cell r="D43">
            <v>93.766666666666666</v>
          </cell>
          <cell r="E43" t="str">
            <v>A</v>
          </cell>
          <cell r="F43" t="str">
            <v xml:space="preserve">Ananda Nabila Ayuningtias sangat baik dalam Mengenal dan memahami sandhangan/pangangguy aksara Jawa/carakan Madura.  Cukup dalam Mengenal, memahami dan mengidentifikasi kata berimbuhan dalam teks sesuai kaidah. </v>
          </cell>
        </row>
        <row r="44">
          <cell r="B44">
            <v>41</v>
          </cell>
          <cell r="C44" t="str">
            <v>NARESWARI MASAYU PUSPANINGRUM</v>
          </cell>
          <cell r="D44">
            <v>93.766666666666666</v>
          </cell>
          <cell r="E44" t="str">
            <v>A</v>
          </cell>
          <cell r="F44" t="str">
            <v xml:space="preserve">Ananda Nareswari Masayu Puspaningrum sangat baik dalam Mengenal dan memahami sandhangan/pangangguy aksara Jawa/carakan Madura.  Cukup dalam Mengenal, memahami dan mengidentifikasi kata berimbuhan dalam teks sesuai kaidah. </v>
          </cell>
        </row>
        <row r="45">
          <cell r="B45">
            <v>42</v>
          </cell>
          <cell r="C45" t="str">
            <v>NOVA SASMYTA</v>
          </cell>
          <cell r="D45">
            <v>93.766666666666666</v>
          </cell>
          <cell r="E45" t="str">
            <v>A</v>
          </cell>
          <cell r="F45" t="str">
            <v xml:space="preserve">Ananda Nova Sasmyta sangat baik dalam Mengenal dan memahami sandhangan/pangangguy aksara Jawa/carakan Madura.  Cukup dalam Mengenal, memahami dan mengidentifikasi kata berimbuhan dalam teks sesuai kaidah. </v>
          </cell>
        </row>
        <row r="46">
          <cell r="B46">
            <v>43</v>
          </cell>
          <cell r="C46" t="str">
            <v>RIDHA RAHMATUL AULA RIDWAN</v>
          </cell>
          <cell r="D46">
            <v>93.766666666666666</v>
          </cell>
          <cell r="E46" t="str">
            <v>A</v>
          </cell>
          <cell r="F46" t="str">
            <v xml:space="preserve">Ananda Ridha Rahmatul Aula Ridwan sangat baik dalam Mengenal dan memahami sandhangan/pangangguy aksara Jawa/carakan Madura.  Cukup dalam Mengenal, memahami dan mengidentifikasi kata berimbuhan dalam teks sesuai kaidah. </v>
          </cell>
        </row>
        <row r="47">
          <cell r="B47">
            <v>44</v>
          </cell>
          <cell r="C47" t="str">
            <v>RIFDA SALSABILA PURNAMA</v>
          </cell>
          <cell r="D47">
            <v>93.766666666666666</v>
          </cell>
          <cell r="E47" t="str">
            <v>A</v>
          </cell>
          <cell r="F47" t="str">
            <v xml:space="preserve">Ananda Rifda Salsabila Purnama sangat baik dalam Mengenal dan memahami sandhangan/pangangguy aksara Jawa/carakan Madura.  Cukup dalam Mengenal, memahami dan mengidentifikasi kata berimbuhan dalam teks sesuai kaidah. </v>
          </cell>
        </row>
        <row r="48">
          <cell r="B48">
            <v>45</v>
          </cell>
          <cell r="C48" t="str">
            <v>RIZKI INTAN KURNIAENDAH</v>
          </cell>
          <cell r="D48">
            <v>93.766666666666666</v>
          </cell>
          <cell r="E48" t="str">
            <v>A</v>
          </cell>
          <cell r="F48" t="str">
            <v xml:space="preserve">Ananda Rizki Intan Kurniaendah sangat baik dalam Mengenal dan memahami sandhangan/pangangguy aksara Jawa/carakan Madura.  Cukup dalam Mengenal, memahami dan mengidentifikasi kata berimbuhan dalam teks sesuai kaidah. </v>
          </cell>
        </row>
        <row r="49">
          <cell r="B49">
            <v>46</v>
          </cell>
          <cell r="C49" t="str">
            <v>RIZKY FIRMANSYAH</v>
          </cell>
          <cell r="D49">
            <v>93.766666666666666</v>
          </cell>
          <cell r="E49" t="str">
            <v>A</v>
          </cell>
          <cell r="F49" t="str">
            <v xml:space="preserve">Ananda Rizky Firmansyah sangat baik dalam Mengenal dan memahami sandhangan/pangangguy aksara Jawa/carakan Madura.  Cukup dalam Mengenal, memahami dan mengidentifikasi kata berimbuhan dalam teks sesuai kaidah. </v>
          </cell>
        </row>
        <row r="50">
          <cell r="B50">
            <v>47</v>
          </cell>
          <cell r="C50" t="str">
            <v>SAFIRA NUR LAYLA RAMADHANI</v>
          </cell>
          <cell r="D50">
            <v>93.766666666666666</v>
          </cell>
          <cell r="E50" t="str">
            <v>A</v>
          </cell>
          <cell r="F50" t="str">
            <v xml:space="preserve">Ananda Safira Nur Layla Ramadhani sangat baik dalam Mengenal dan memahami sandhangan/pangangguy aksara Jawa/carakan Madura.  Cukup dalam Mengenal, memahami dan mengidentifikasi kata berimbuhan dalam teks sesuai kaidah. </v>
          </cell>
        </row>
        <row r="51">
          <cell r="B51">
            <v>48</v>
          </cell>
          <cell r="C51" t="str">
            <v>SHANASTRI RUFAIDA</v>
          </cell>
          <cell r="D51">
            <v>93.766666666666666</v>
          </cell>
          <cell r="E51" t="str">
            <v>A</v>
          </cell>
          <cell r="F51" t="str">
            <v xml:space="preserve">Ananda Shanastri Rufaida sangat baik dalam Mengenal dan memahami sandhangan/pangangguy aksara Jawa/carakan Madura.  Cukup dalam Mengenal, memahami dan mengidentifikasi kata berimbuhan dalam teks sesuai kaidah. </v>
          </cell>
        </row>
        <row r="52">
          <cell r="B52">
            <v>49</v>
          </cell>
          <cell r="C52" t="str">
            <v>SHIAM SAHARA</v>
          </cell>
          <cell r="D52">
            <v>93.766666666666666</v>
          </cell>
          <cell r="E52" t="str">
            <v>A</v>
          </cell>
          <cell r="F52" t="str">
            <v xml:space="preserve">Ananda Shiam Sahara sangat baik dalam Mengenal dan memahami sandhangan/pangangguy aksara Jawa/carakan Madura.  Cukup dalam Mengenal, memahami dan mengidentifikasi kata berimbuhan dalam teks sesuai kaidah. </v>
          </cell>
        </row>
        <row r="53">
          <cell r="B53">
            <v>50</v>
          </cell>
          <cell r="C53" t="str">
            <v>SUSAN APRILIA PUTRI</v>
          </cell>
          <cell r="D53">
            <v>93.766666666666666</v>
          </cell>
          <cell r="E53" t="str">
            <v>A</v>
          </cell>
          <cell r="F53" t="str">
            <v xml:space="preserve">Ananda Susan Aprilia Putri sangat baik dalam Mengenal dan memahami sandhangan/pangangguy aksara Jawa/carakan Madura.  Cukup dalam Mengenal, memahami dan mengidentifikasi kata berimbuhan dalam teks sesuai kaidah. </v>
          </cell>
        </row>
      </sheetData>
      <sheetData sheetId="35"/>
      <sheetData sheetId="36">
        <row r="4">
          <cell r="B4">
            <v>1</v>
          </cell>
          <cell r="C4" t="str">
            <v>AZKA AFINA KHOIRUL IZA</v>
          </cell>
          <cell r="D4">
            <v>95.119047619047606</v>
          </cell>
          <cell r="E4" t="str">
            <v>A</v>
          </cell>
          <cell r="F4" t="str">
            <v xml:space="preserve">Ananda Azka Afina Khoirul Iza sangat baik dalam Menggali isi dan amanat puisi yang disajikan secara lisan dan tulis dengan tujuan untuk kesenangan.  Sangat baik dalam Menggali pengetahuan baru yang terdapat pada teks nonfiksi. </v>
          </cell>
        </row>
        <row r="5">
          <cell r="B5">
            <v>2</v>
          </cell>
          <cell r="C5" t="str">
            <v>BAGUS WIDA KANAKA</v>
          </cell>
          <cell r="D5">
            <v>59.416666666666671</v>
          </cell>
          <cell r="E5" t="str">
            <v>D</v>
          </cell>
          <cell r="F5" t="str">
            <v xml:space="preserve">Ananda Bagus Wida Kanaka perlu bimbingan dalam Menggali isi dan amanat puisi yang disajikan secara lisan dan tulis dengan tujuan untuk kesenangan.  Perlu bimbingan dalam Menggali pengetahuan baru yang terdapat pada teks nonfiksi. </v>
          </cell>
        </row>
        <row r="6">
          <cell r="B6">
            <v>3</v>
          </cell>
          <cell r="C6" t="str">
            <v>DENI FIRYA ATHALLAH PRADINAYA</v>
          </cell>
          <cell r="D6">
            <v>78.458333333333329</v>
          </cell>
          <cell r="E6" t="str">
            <v>C</v>
          </cell>
          <cell r="F6" t="str">
            <v xml:space="preserve">Ananda Deni Firya Athallah Pradinaya sangat baik dalam Menggali isi dan amanat puisi yang disajikan secara lisan dan tulis dengan tujuan untuk kesenangan.  Perlu bimbingan dalam Mencermati tokoh-tokoh yang terdapat pada teks fiksi. </v>
          </cell>
        </row>
        <row r="7">
          <cell r="B7">
            <v>4</v>
          </cell>
          <cell r="C7" t="str">
            <v>DEWI GALUH MULANSARI</v>
          </cell>
          <cell r="D7">
            <v>78.458333333333329</v>
          </cell>
          <cell r="E7" t="str">
            <v>C</v>
          </cell>
          <cell r="F7" t="str">
            <v xml:space="preserve">Ananda Dewi Galuh Mulansari sangat baik dalam Menggali isi dan amanat puisi yang disajikan secara lisan dan tulis dengan tujuan untuk kesenangan.  Perlu bimbingan dalam Mencermati tokoh-tokoh yang terdapat pada teks fiksi. </v>
          </cell>
        </row>
        <row r="8">
          <cell r="B8">
            <v>5</v>
          </cell>
          <cell r="C8" t="str">
            <v>DIAN PUJI LESTARI</v>
          </cell>
          <cell r="D8">
            <v>78.458333333333329</v>
          </cell>
          <cell r="E8" t="str">
            <v>C</v>
          </cell>
          <cell r="F8" t="str">
            <v xml:space="preserve">Ananda Dian Puji Lestari sangat baik dalam Menggali isi dan amanat puisi yang disajikan secara lisan dan tulis dengan tujuan untuk kesenangan.  Perlu bimbingan dalam Mencermati tokoh-tokoh yang terdapat pada teks fiksi. </v>
          </cell>
        </row>
        <row r="9">
          <cell r="B9">
            <v>6</v>
          </cell>
          <cell r="C9" t="str">
            <v>Hafidz Langgeng Prasetyo</v>
          </cell>
          <cell r="D9">
            <v>78.458333333333329</v>
          </cell>
          <cell r="E9" t="str">
            <v>C</v>
          </cell>
          <cell r="F9" t="str">
            <v xml:space="preserve">Ananda Hafidz Langgeng Prasetyo sangat baik dalam Menggali isi dan amanat puisi yang disajikan secara lisan dan tulis dengan tujuan untuk kesenangan.  Perlu bimbingan dalam Mencermati tokoh-tokoh yang terdapat pada teks fiksi. </v>
          </cell>
        </row>
        <row r="10">
          <cell r="B10">
            <v>7</v>
          </cell>
          <cell r="C10" t="str">
            <v>JALU ARTHA AJI MANGGALA HANDOKO</v>
          </cell>
          <cell r="D10">
            <v>78.458333333333329</v>
          </cell>
          <cell r="E10" t="str">
            <v>C</v>
          </cell>
          <cell r="F10" t="str">
            <v xml:space="preserve">Ananda Jalu Artha Aji Manggala Handoko sangat baik dalam Menggali isi dan amanat puisi yang disajikan secara lisan dan tulis dengan tujuan untuk kesenangan.  Perlu bimbingan dalam Mencermati tokoh-tokoh yang terdapat pada teks fiksi. </v>
          </cell>
        </row>
        <row r="11">
          <cell r="B11">
            <v>8</v>
          </cell>
          <cell r="C11" t="str">
            <v>LAURENDHO RADIEFCA MURDIONO</v>
          </cell>
          <cell r="D11">
            <v>78.458333333333329</v>
          </cell>
          <cell r="E11" t="str">
            <v>C</v>
          </cell>
          <cell r="F11" t="str">
            <v xml:space="preserve">Ananda Laurendho Radiefca Murdiono sangat baik dalam Menggali isi dan amanat puisi yang disajikan secara lisan dan tulis dengan tujuan untuk kesenangan.  Perlu bimbingan dalam Mencermati tokoh-tokoh yang terdapat pada teks fiksi. </v>
          </cell>
        </row>
        <row r="12">
          <cell r="B12">
            <v>9</v>
          </cell>
          <cell r="C12" t="str">
            <v>MARSYA MAYDINA DWI RISQITA</v>
          </cell>
          <cell r="D12">
            <v>78.458333333333329</v>
          </cell>
          <cell r="E12" t="str">
            <v>C</v>
          </cell>
          <cell r="F12" t="str">
            <v xml:space="preserve">Ananda Marsya Maydina Dwi Risqita sangat baik dalam Menggali isi dan amanat puisi yang disajikan secara lisan dan tulis dengan tujuan untuk kesenangan.  Perlu bimbingan dalam Mencermati tokoh-tokoh yang terdapat pada teks fiksi. </v>
          </cell>
        </row>
        <row r="13">
          <cell r="B13">
            <v>10</v>
          </cell>
          <cell r="C13" t="str">
            <v>MILA SARASWATI</v>
          </cell>
          <cell r="D13">
            <v>78.458333333333329</v>
          </cell>
          <cell r="E13" t="str">
            <v>C</v>
          </cell>
          <cell r="F13" t="str">
            <v xml:space="preserve">Ananda Mila Saraswati sangat baik dalam Menggali isi dan amanat puisi yang disajikan secara lisan dan tulis dengan tujuan untuk kesenangan.  Perlu bimbingan dalam Mencermati tokoh-tokoh yang terdapat pada teks fiksi. </v>
          </cell>
        </row>
        <row r="14">
          <cell r="B14">
            <v>11</v>
          </cell>
          <cell r="C14" t="str">
            <v>MUHAMMAD ARKAN ALLY RACHMAD</v>
          </cell>
          <cell r="D14">
            <v>78.458333333333329</v>
          </cell>
          <cell r="E14" t="str">
            <v>C</v>
          </cell>
          <cell r="F14" t="str">
            <v xml:space="preserve">Ananda Muhammad Arkan Ally Rachmad sangat baik dalam Menggali isi dan amanat puisi yang disajikan secara lisan dan tulis dengan tujuan untuk kesenangan.  Perlu bimbingan dalam Mencermati tokoh-tokoh yang terdapat pada teks fiksi. </v>
          </cell>
        </row>
        <row r="15">
          <cell r="B15">
            <v>12</v>
          </cell>
          <cell r="C15" t="str">
            <v>MUHAMMAD REVIAN ABDULLOH FAQIH</v>
          </cell>
          <cell r="D15">
            <v>78.458333333333329</v>
          </cell>
          <cell r="E15" t="str">
            <v>C</v>
          </cell>
          <cell r="F15" t="str">
            <v xml:space="preserve">Ananda Muhammad Revian Abdulloh Faqih sangat baik dalam Menggali isi dan amanat puisi yang disajikan secara lisan dan tulis dengan tujuan untuk kesenangan.  Perlu bimbingan dalam Mencermati tokoh-tokoh yang terdapat pada teks fiksi. </v>
          </cell>
        </row>
        <row r="16">
          <cell r="B16">
            <v>13</v>
          </cell>
          <cell r="C16" t="str">
            <v>NABILA AYUNINGTIAS</v>
          </cell>
          <cell r="D16">
            <v>78.458333333333329</v>
          </cell>
          <cell r="E16" t="str">
            <v>C</v>
          </cell>
          <cell r="F16" t="str">
            <v xml:space="preserve">Ananda Nabila Ayuningtias sangat baik dalam Menggali isi dan amanat puisi yang disajikan secara lisan dan tulis dengan tujuan untuk kesenangan.  Perlu bimbingan dalam Mencermati tokoh-tokoh yang terdapat pada teks fiksi. </v>
          </cell>
        </row>
        <row r="17">
          <cell r="B17">
            <v>14</v>
          </cell>
          <cell r="C17" t="str">
            <v>NARESWARI MASAYU PUSPANINGRUM</v>
          </cell>
          <cell r="D17">
            <v>78.458333333333329</v>
          </cell>
          <cell r="E17" t="str">
            <v>C</v>
          </cell>
          <cell r="F17" t="str">
            <v xml:space="preserve">Ananda Nareswari Masayu Puspaningrum sangat baik dalam Menggali isi dan amanat puisi yang disajikan secara lisan dan tulis dengan tujuan untuk kesenangan.  Perlu bimbingan dalam Mencermati tokoh-tokoh yang terdapat pada teks fiksi. </v>
          </cell>
        </row>
        <row r="18">
          <cell r="B18">
            <v>15</v>
          </cell>
          <cell r="C18" t="str">
            <v>NOVA SASMYTA</v>
          </cell>
          <cell r="D18">
            <v>78.458333333333329</v>
          </cell>
          <cell r="E18" t="str">
            <v>C</v>
          </cell>
          <cell r="F18" t="str">
            <v xml:space="preserve">Ananda Nova Sasmyta sangat baik dalam Menggali isi dan amanat puisi yang disajikan secara lisan dan tulis dengan tujuan untuk kesenangan.  Perlu bimbingan dalam Mencermati tokoh-tokoh yang terdapat pada teks fiksi. </v>
          </cell>
        </row>
        <row r="19">
          <cell r="B19">
            <v>16</v>
          </cell>
          <cell r="C19" t="str">
            <v>RIDHA RAHMATUL AULA RIDWAN</v>
          </cell>
          <cell r="D19">
            <v>78.458333333333329</v>
          </cell>
          <cell r="E19" t="str">
            <v>C</v>
          </cell>
          <cell r="F19" t="str">
            <v xml:space="preserve">Ananda Ridha Rahmatul Aula Ridwan sangat baik dalam Menggali isi dan amanat puisi yang disajikan secara lisan dan tulis dengan tujuan untuk kesenangan.  Perlu bimbingan dalam Mencermati tokoh-tokoh yang terdapat pada teks fiksi. </v>
          </cell>
        </row>
        <row r="20">
          <cell r="B20">
            <v>17</v>
          </cell>
          <cell r="C20" t="str">
            <v>RIFDA SALSABILA PURNAMA</v>
          </cell>
          <cell r="D20">
            <v>78.458333333333329</v>
          </cell>
          <cell r="E20" t="str">
            <v>C</v>
          </cell>
          <cell r="F20" t="str">
            <v xml:space="preserve">Ananda Rifda Salsabila Purnama sangat baik dalam Menggali isi dan amanat puisi yang disajikan secara lisan dan tulis dengan tujuan untuk kesenangan.  Perlu bimbingan dalam Mencermati tokoh-tokoh yang terdapat pada teks fiksi. </v>
          </cell>
        </row>
        <row r="21">
          <cell r="B21">
            <v>18</v>
          </cell>
          <cell r="C21" t="str">
            <v>RIZKI INTAN KURNIAENDAH</v>
          </cell>
          <cell r="D21">
            <v>78.458333333333329</v>
          </cell>
          <cell r="E21" t="str">
            <v>C</v>
          </cell>
          <cell r="F21" t="str">
            <v xml:space="preserve">Ananda Rizki Intan Kurniaendah sangat baik dalam Menggali isi dan amanat puisi yang disajikan secara lisan dan tulis dengan tujuan untuk kesenangan.  Perlu bimbingan dalam Mencermati tokoh-tokoh yang terdapat pada teks fiksi. </v>
          </cell>
        </row>
        <row r="22">
          <cell r="B22">
            <v>19</v>
          </cell>
          <cell r="C22" t="str">
            <v>RIZKY FIRMANSYAH</v>
          </cell>
          <cell r="D22">
            <v>78.458333333333329</v>
          </cell>
          <cell r="E22" t="str">
            <v>C</v>
          </cell>
          <cell r="F22" t="str">
            <v xml:space="preserve">Ananda Rizky Firmansyah sangat baik dalam Menggali isi dan amanat puisi yang disajikan secara lisan dan tulis dengan tujuan untuk kesenangan.  Perlu bimbingan dalam Mencermati tokoh-tokoh yang terdapat pada teks fiksi. </v>
          </cell>
        </row>
        <row r="23">
          <cell r="B23">
            <v>20</v>
          </cell>
          <cell r="C23" t="str">
            <v>SAFIRA NUR LAYLA RAMADHANI</v>
          </cell>
          <cell r="D23">
            <v>78.458333333333329</v>
          </cell>
          <cell r="E23" t="str">
            <v>C</v>
          </cell>
          <cell r="F23" t="str">
            <v xml:space="preserve">Ananda Safira Nur Layla Ramadhani sangat baik dalam Menggali isi dan amanat puisi yang disajikan secara lisan dan tulis dengan tujuan untuk kesenangan.  Perlu bimbingan dalam Mencermati tokoh-tokoh yang terdapat pada teks fiksi. </v>
          </cell>
        </row>
        <row r="24">
          <cell r="B24">
            <v>21</v>
          </cell>
          <cell r="C24" t="str">
            <v>SHANASTRI RUFAIDA</v>
          </cell>
          <cell r="D24">
            <v>78.458333333333329</v>
          </cell>
          <cell r="E24" t="str">
            <v>C</v>
          </cell>
          <cell r="F24" t="str">
            <v xml:space="preserve">Ananda Shanastri Rufaida sangat baik dalam Menggali isi dan amanat puisi yang disajikan secara lisan dan tulis dengan tujuan untuk kesenangan.  Perlu bimbingan dalam Mencermati tokoh-tokoh yang terdapat pada teks fiksi. </v>
          </cell>
        </row>
        <row r="25">
          <cell r="B25">
            <v>22</v>
          </cell>
          <cell r="C25" t="str">
            <v>SHIAM SAHARA</v>
          </cell>
          <cell r="D25">
            <v>78.458333333333329</v>
          </cell>
          <cell r="E25" t="str">
            <v>C</v>
          </cell>
          <cell r="F25" t="str">
            <v xml:space="preserve">Ananda Shiam Sahara sangat baik dalam Menggali isi dan amanat puisi yang disajikan secara lisan dan tulis dengan tujuan untuk kesenangan.  Perlu bimbingan dalam Mencermati tokoh-tokoh yang terdapat pada teks fiksi. </v>
          </cell>
        </row>
        <row r="26">
          <cell r="B26">
            <v>23</v>
          </cell>
          <cell r="C26" t="str">
            <v>SUSAN APRILIA PUTRI</v>
          </cell>
          <cell r="D26">
            <v>78.458333333333329</v>
          </cell>
          <cell r="E26" t="str">
            <v>C</v>
          </cell>
          <cell r="F26" t="str">
            <v xml:space="preserve">Ananda Susan Aprilia Putri sangat baik dalam Menggali isi dan amanat puisi yang disajikan secara lisan dan tulis dengan tujuan untuk kesenangan.  Perlu bimbingan dalam Mencermati tokoh-tokoh yang terdapat pada teks fiksi. </v>
          </cell>
        </row>
        <row r="27">
          <cell r="B27">
            <v>24</v>
          </cell>
          <cell r="C27" t="str">
            <v>SYIFAUL CHUSNA BANATU ROHMI HADI</v>
          </cell>
          <cell r="D27">
            <v>78.458333333333329</v>
          </cell>
          <cell r="E27" t="str">
            <v>C</v>
          </cell>
          <cell r="F27" t="str">
            <v xml:space="preserve">Ananda Syifaul Chusna Banatu Rohmi Hadi sangat baik dalam Menggali isi dan amanat puisi yang disajikan secara lisan dan tulis dengan tujuan untuk kesenangan.  Perlu bimbingan dalam Mencermati tokoh-tokoh yang terdapat pada teks fiksi. </v>
          </cell>
        </row>
        <row r="28">
          <cell r="B28">
            <v>25</v>
          </cell>
          <cell r="C28" t="str">
            <v>VANESSA VICKY AYU LESTARI</v>
          </cell>
          <cell r="D28">
            <v>78.458333333333329</v>
          </cell>
          <cell r="E28" t="str">
            <v>C</v>
          </cell>
          <cell r="F28" t="str">
            <v xml:space="preserve">Ananda Vanessa Vicky Ayu Lestari sangat baik dalam Menggali isi dan amanat puisi yang disajikan secara lisan dan tulis dengan tujuan untuk kesenangan.  Perlu bimbingan dalam Mencermati tokoh-tokoh yang terdapat pada teks fiksi. </v>
          </cell>
        </row>
        <row r="29">
          <cell r="B29">
            <v>26</v>
          </cell>
          <cell r="C29" t="str">
            <v>WIBI NUR FIRMANSYAH</v>
          </cell>
          <cell r="D29">
            <v>78.458333333333329</v>
          </cell>
          <cell r="E29" t="str">
            <v>C</v>
          </cell>
          <cell r="F29" t="str">
            <v xml:space="preserve">Ananda Wibi Nur Firmansyah sangat baik dalam Menggali isi dan amanat puisi yang disajikan secara lisan dan tulis dengan tujuan untuk kesenangan.  Perlu bimbingan dalam Mencermati tokoh-tokoh yang terdapat pada teks fiksi. </v>
          </cell>
        </row>
        <row r="30">
          <cell r="B30">
            <v>27</v>
          </cell>
          <cell r="C30" t="str">
            <v>ZULFIDA NURUL MAZIDAH</v>
          </cell>
          <cell r="D30">
            <v>78.458333333333329</v>
          </cell>
          <cell r="E30" t="str">
            <v>C</v>
          </cell>
          <cell r="F30" t="str">
            <v xml:space="preserve">Ananda Zulfida Nurul Mazidah sangat baik dalam Menggali isi dan amanat puisi yang disajikan secara lisan dan tulis dengan tujuan untuk kesenangan.  Perlu bimbingan dalam Mencermati tokoh-tokoh yang terdapat pada teks fiksi. </v>
          </cell>
        </row>
        <row r="31">
          <cell r="B31">
            <v>28</v>
          </cell>
          <cell r="C31" t="str">
            <v>AZKA AFINA KHOIRUL IZA</v>
          </cell>
          <cell r="D31">
            <v>78.458333333333329</v>
          </cell>
          <cell r="E31" t="str">
            <v>C</v>
          </cell>
          <cell r="F31" t="str">
            <v xml:space="preserve">Ananda Azka Afina Khoirul Iza sangat baik dalam Menggali isi dan amanat puisi yang disajikan secara lisan dan tulis dengan tujuan untuk kesenangan.  Perlu bimbingan dalam Mencermati tokoh-tokoh yang terdapat pada teks fiksi. </v>
          </cell>
        </row>
        <row r="32">
          <cell r="B32">
            <v>29</v>
          </cell>
          <cell r="C32" t="str">
            <v>BAGUS WIDA KANAKA</v>
          </cell>
          <cell r="D32">
            <v>78.458333333333329</v>
          </cell>
          <cell r="E32" t="str">
            <v>C</v>
          </cell>
          <cell r="F32" t="str">
            <v xml:space="preserve">Ananda Bagus Wida Kanaka sangat baik dalam Menggali isi dan amanat puisi yang disajikan secara lisan dan tulis dengan tujuan untuk kesenangan.  Perlu bimbingan dalam Mencermati tokoh-tokoh yang terdapat pada teks fiksi. </v>
          </cell>
        </row>
        <row r="33">
          <cell r="B33">
            <v>30</v>
          </cell>
          <cell r="C33" t="str">
            <v>DENI FIRYA ATHALLAH PRADINAYA</v>
          </cell>
          <cell r="D33">
            <v>78.458333333333329</v>
          </cell>
          <cell r="E33" t="str">
            <v>C</v>
          </cell>
          <cell r="F33" t="str">
            <v xml:space="preserve">Ananda Deni Firya Athallah Pradinaya sangat baik dalam Menggali isi dan amanat puisi yang disajikan secara lisan dan tulis dengan tujuan untuk kesenangan.  Perlu bimbingan dalam Mencermati tokoh-tokoh yang terdapat pada teks fiksi. </v>
          </cell>
        </row>
        <row r="34">
          <cell r="B34">
            <v>31</v>
          </cell>
          <cell r="C34" t="str">
            <v>DEWI GALUH MULANSARI</v>
          </cell>
          <cell r="D34">
            <v>78.458333333333329</v>
          </cell>
          <cell r="E34" t="str">
            <v>C</v>
          </cell>
          <cell r="F34" t="str">
            <v xml:space="preserve">Ananda Dewi Galuh Mulansari sangat baik dalam Menggali isi dan amanat puisi yang disajikan secara lisan dan tulis dengan tujuan untuk kesenangan.  Perlu bimbingan dalam Mencermati tokoh-tokoh yang terdapat pada teks fiksi. </v>
          </cell>
        </row>
        <row r="35">
          <cell r="B35">
            <v>32</v>
          </cell>
          <cell r="C35" t="str">
            <v>DIAN PUJI LESTARI</v>
          </cell>
          <cell r="D35">
            <v>78.458333333333329</v>
          </cell>
          <cell r="E35" t="str">
            <v>C</v>
          </cell>
          <cell r="F35" t="str">
            <v xml:space="preserve">Ananda Dian Puji Lestari sangat baik dalam Menggali isi dan amanat puisi yang disajikan secara lisan dan tulis dengan tujuan untuk kesenangan.  Perlu bimbingan dalam Mencermati tokoh-tokoh yang terdapat pada teks fiksi. </v>
          </cell>
        </row>
        <row r="36">
          <cell r="B36">
            <v>33</v>
          </cell>
          <cell r="C36" t="str">
            <v>Hafidz Langgeng Prasetyo</v>
          </cell>
          <cell r="D36">
            <v>78.458333333333329</v>
          </cell>
          <cell r="E36" t="str">
            <v>C</v>
          </cell>
          <cell r="F36" t="str">
            <v xml:space="preserve">Ananda Hafidz Langgeng Prasetyo sangat baik dalam Menggali isi dan amanat puisi yang disajikan secara lisan dan tulis dengan tujuan untuk kesenangan.  Perlu bimbingan dalam Mencermati tokoh-tokoh yang terdapat pada teks fiksi. </v>
          </cell>
        </row>
        <row r="37">
          <cell r="B37">
            <v>34</v>
          </cell>
          <cell r="C37" t="str">
            <v>JALU ARTHA AJI MANGGALA HANDOKO</v>
          </cell>
          <cell r="D37">
            <v>78.458333333333329</v>
          </cell>
          <cell r="E37" t="str">
            <v>C</v>
          </cell>
          <cell r="F37" t="str">
            <v xml:space="preserve">Ananda Jalu Artha Aji Manggala Handoko sangat baik dalam Menggali isi dan amanat puisi yang disajikan secara lisan dan tulis dengan tujuan untuk kesenangan.  Perlu bimbingan dalam Mencermati tokoh-tokoh yang terdapat pada teks fiksi. </v>
          </cell>
        </row>
        <row r="38">
          <cell r="B38">
            <v>35</v>
          </cell>
          <cell r="C38" t="str">
            <v>LAURENDHO RADIEFCA MURDIONO</v>
          </cell>
          <cell r="D38">
            <v>78.458333333333329</v>
          </cell>
          <cell r="E38" t="str">
            <v>C</v>
          </cell>
          <cell r="F38" t="str">
            <v xml:space="preserve">Ananda Laurendho Radiefca Murdiono sangat baik dalam Menggali isi dan amanat puisi yang disajikan secara lisan dan tulis dengan tujuan untuk kesenangan.  Perlu bimbingan dalam Mencermati tokoh-tokoh yang terdapat pada teks fiksi. </v>
          </cell>
        </row>
        <row r="39">
          <cell r="B39">
            <v>36</v>
          </cell>
          <cell r="C39" t="str">
            <v>MARSYA MAYDINA DWI RISQITA</v>
          </cell>
          <cell r="D39">
            <v>78.458333333333329</v>
          </cell>
          <cell r="E39" t="str">
            <v>C</v>
          </cell>
          <cell r="F39" t="str">
            <v xml:space="preserve">Ananda Marsya Maydina Dwi Risqita sangat baik dalam Menggali isi dan amanat puisi yang disajikan secara lisan dan tulis dengan tujuan untuk kesenangan.  Perlu bimbingan dalam Mencermati tokoh-tokoh yang terdapat pada teks fiksi. </v>
          </cell>
        </row>
        <row r="40">
          <cell r="B40">
            <v>37</v>
          </cell>
          <cell r="C40" t="str">
            <v>MILA SARASWATI</v>
          </cell>
          <cell r="D40">
            <v>78.458333333333329</v>
          </cell>
          <cell r="E40" t="str">
            <v>C</v>
          </cell>
          <cell r="F40" t="str">
            <v xml:space="preserve">Ananda Mila Saraswati sangat baik dalam Menggali isi dan amanat puisi yang disajikan secara lisan dan tulis dengan tujuan untuk kesenangan.  Perlu bimbingan dalam Mencermati tokoh-tokoh yang terdapat pada teks fiksi. </v>
          </cell>
        </row>
        <row r="41">
          <cell r="B41">
            <v>38</v>
          </cell>
          <cell r="C41" t="str">
            <v>MUHAMMAD ARKAN ALLY RACHMAD</v>
          </cell>
          <cell r="D41">
            <v>78.458333333333329</v>
          </cell>
          <cell r="E41" t="str">
            <v>C</v>
          </cell>
          <cell r="F41" t="str">
            <v xml:space="preserve">Ananda Muhammad Arkan Ally Rachmad sangat baik dalam Menggali isi dan amanat puisi yang disajikan secara lisan dan tulis dengan tujuan untuk kesenangan.  Perlu bimbingan dalam Mencermati tokoh-tokoh yang terdapat pada teks fiksi. </v>
          </cell>
        </row>
        <row r="42">
          <cell r="B42">
            <v>39</v>
          </cell>
          <cell r="C42" t="str">
            <v>MUHAMMAD REVIAN ABDULLOH FAQIH</v>
          </cell>
          <cell r="D42">
            <v>78.458333333333329</v>
          </cell>
          <cell r="E42" t="str">
            <v>C</v>
          </cell>
          <cell r="F42" t="str">
            <v xml:space="preserve">Ananda Muhammad Revian Abdulloh Faqih sangat baik dalam Menggali isi dan amanat puisi yang disajikan secara lisan dan tulis dengan tujuan untuk kesenangan.  Perlu bimbingan dalam Mencermati tokoh-tokoh yang terdapat pada teks fiksi. </v>
          </cell>
        </row>
        <row r="43">
          <cell r="B43">
            <v>40</v>
          </cell>
          <cell r="C43" t="str">
            <v>NABILA AYUNINGTIAS</v>
          </cell>
          <cell r="D43">
            <v>78.458333333333329</v>
          </cell>
          <cell r="E43" t="str">
            <v>C</v>
          </cell>
          <cell r="F43" t="str">
            <v xml:space="preserve">Ananda Nabila Ayuningtias sangat baik dalam Menggali isi dan amanat puisi yang disajikan secara lisan dan tulis dengan tujuan untuk kesenangan.  Perlu bimbingan dalam Mencermati tokoh-tokoh yang terdapat pada teks fiksi. </v>
          </cell>
        </row>
        <row r="44">
          <cell r="B44">
            <v>41</v>
          </cell>
          <cell r="C44" t="str">
            <v>NARESWARI MASAYU PUSPANINGRUM</v>
          </cell>
          <cell r="D44">
            <v>78.458333333333329</v>
          </cell>
          <cell r="E44" t="str">
            <v>C</v>
          </cell>
          <cell r="F44" t="str">
            <v xml:space="preserve">Ananda Nareswari Masayu Puspaningrum sangat baik dalam Menggali isi dan amanat puisi yang disajikan secara lisan dan tulis dengan tujuan untuk kesenangan.  Perlu bimbingan dalam Mencermati tokoh-tokoh yang terdapat pada teks fiksi. </v>
          </cell>
        </row>
        <row r="45">
          <cell r="B45">
            <v>42</v>
          </cell>
          <cell r="C45" t="str">
            <v>NOVA SASMYTA</v>
          </cell>
          <cell r="D45">
            <v>78.458333333333329</v>
          </cell>
          <cell r="E45" t="str">
            <v>C</v>
          </cell>
          <cell r="F45" t="str">
            <v xml:space="preserve">Ananda Nova Sasmyta sangat baik dalam Menggali isi dan amanat puisi yang disajikan secara lisan dan tulis dengan tujuan untuk kesenangan.  Perlu bimbingan dalam Mencermati tokoh-tokoh yang terdapat pada teks fiksi. </v>
          </cell>
        </row>
        <row r="46">
          <cell r="B46">
            <v>43</v>
          </cell>
          <cell r="C46" t="str">
            <v>RIDHA RAHMATUL AULA RIDWAN</v>
          </cell>
          <cell r="D46">
            <v>78.458333333333329</v>
          </cell>
          <cell r="E46" t="str">
            <v>C</v>
          </cell>
          <cell r="F46" t="str">
            <v xml:space="preserve">Ananda Ridha Rahmatul Aula Ridwan sangat baik dalam Menggali isi dan amanat puisi yang disajikan secara lisan dan tulis dengan tujuan untuk kesenangan.  Perlu bimbingan dalam Mencermati tokoh-tokoh yang terdapat pada teks fiksi. </v>
          </cell>
        </row>
        <row r="47">
          <cell r="B47">
            <v>44</v>
          </cell>
          <cell r="C47" t="str">
            <v>RIFDA SALSABILA PURNAMA</v>
          </cell>
          <cell r="D47">
            <v>78.458333333333329</v>
          </cell>
          <cell r="E47" t="str">
            <v>C</v>
          </cell>
          <cell r="F47" t="str">
            <v xml:space="preserve">Ananda Rifda Salsabila Purnama sangat baik dalam Menggali isi dan amanat puisi yang disajikan secara lisan dan tulis dengan tujuan untuk kesenangan.  Perlu bimbingan dalam Mencermati tokoh-tokoh yang terdapat pada teks fiksi. </v>
          </cell>
        </row>
        <row r="48">
          <cell r="B48">
            <v>45</v>
          </cell>
          <cell r="C48" t="str">
            <v>RIZKI INTAN KURNIAENDAH</v>
          </cell>
          <cell r="D48">
            <v>78.458333333333329</v>
          </cell>
          <cell r="E48" t="str">
            <v>C</v>
          </cell>
          <cell r="F48" t="str">
            <v xml:space="preserve">Ananda Rizki Intan Kurniaendah sangat baik dalam Menggali isi dan amanat puisi yang disajikan secara lisan dan tulis dengan tujuan untuk kesenangan.  Perlu bimbingan dalam Mencermati tokoh-tokoh yang terdapat pada teks fiksi. </v>
          </cell>
        </row>
        <row r="49">
          <cell r="B49">
            <v>46</v>
          </cell>
          <cell r="C49" t="str">
            <v>RIZKY FIRMANSYAH</v>
          </cell>
          <cell r="D49">
            <v>78.458333333333329</v>
          </cell>
          <cell r="E49" t="str">
            <v>C</v>
          </cell>
          <cell r="F49" t="str">
            <v xml:space="preserve">Ananda Rizky Firmansyah sangat baik dalam Menggali isi dan amanat puisi yang disajikan secara lisan dan tulis dengan tujuan untuk kesenangan.  Perlu bimbingan dalam Mencermati tokoh-tokoh yang terdapat pada teks fiksi. </v>
          </cell>
        </row>
        <row r="50">
          <cell r="B50">
            <v>47</v>
          </cell>
          <cell r="C50" t="str">
            <v>SAFIRA NUR LAYLA RAMADHANI</v>
          </cell>
          <cell r="D50">
            <v>78.458333333333329</v>
          </cell>
          <cell r="E50" t="str">
            <v>C</v>
          </cell>
          <cell r="F50" t="str">
            <v xml:space="preserve">Ananda Safira Nur Layla Ramadhani sangat baik dalam Menggali isi dan amanat puisi yang disajikan secara lisan dan tulis dengan tujuan untuk kesenangan.  Perlu bimbingan dalam Mencermati tokoh-tokoh yang terdapat pada teks fiksi. </v>
          </cell>
        </row>
        <row r="51">
          <cell r="B51">
            <v>48</v>
          </cell>
          <cell r="C51" t="str">
            <v>SHANASTRI RUFAIDA</v>
          </cell>
          <cell r="D51">
            <v>78.458333333333329</v>
          </cell>
          <cell r="E51" t="str">
            <v>C</v>
          </cell>
          <cell r="F51" t="str">
            <v xml:space="preserve">Ananda Shanastri Rufaida sangat baik dalam Menggali isi dan amanat puisi yang disajikan secara lisan dan tulis dengan tujuan untuk kesenangan.  Perlu bimbingan dalam Mencermati tokoh-tokoh yang terdapat pada teks fiksi. </v>
          </cell>
        </row>
        <row r="52">
          <cell r="B52">
            <v>49</v>
          </cell>
          <cell r="C52" t="str">
            <v>SHIAM SAHARA</v>
          </cell>
          <cell r="D52">
            <v>78.458333333333329</v>
          </cell>
          <cell r="E52" t="str">
            <v>C</v>
          </cell>
          <cell r="F52" t="str">
            <v xml:space="preserve">Ananda Shiam Sahara sangat baik dalam Menggali isi dan amanat puisi yang disajikan secara lisan dan tulis dengan tujuan untuk kesenangan.  Perlu bimbingan dalam Mencermati tokoh-tokoh yang terdapat pada teks fiksi. </v>
          </cell>
        </row>
        <row r="53">
          <cell r="B53">
            <v>50</v>
          </cell>
          <cell r="C53" t="str">
            <v>SUSAN APRILIA PUTRI</v>
          </cell>
          <cell r="D53">
            <v>78.458333333333329</v>
          </cell>
          <cell r="E53" t="str">
            <v>C</v>
          </cell>
          <cell r="F53" t="str">
            <v xml:space="preserve">Ananda Susan Aprilia Putri sangat baik dalam Menggali isi dan amanat puisi yang disajikan secara lisan dan tulis dengan tujuan untuk kesenangan.  Perlu bimbingan dalam Mencermati tokoh-tokoh yang terdapat pada teks fiksi. </v>
          </cell>
        </row>
      </sheetData>
      <sheetData sheetId="37"/>
      <sheetData sheetId="38"/>
      <sheetData sheetId="39">
        <row r="4">
          <cell r="B4">
            <v>1</v>
          </cell>
          <cell r="C4" t="str">
            <v>AZKA AFINA KHOIRUL IZA</v>
          </cell>
          <cell r="D4">
            <v>83.333333333333329</v>
          </cell>
          <cell r="E4" t="str">
            <v>B</v>
          </cell>
          <cell r="F4" t="str">
            <v xml:space="preserve">Ananda Azka Afina Khoirul Iza baik dalam menggambar dan membentuk tiga dimensi.  Baik dalam menggambar dan membentuk tiga dimensi. </v>
          </cell>
        </row>
        <row r="5">
          <cell r="B5">
            <v>2</v>
          </cell>
          <cell r="C5" t="str">
            <v>BAGUS WIDA KANAKA</v>
          </cell>
          <cell r="D5">
            <v>83.333333333333329</v>
          </cell>
          <cell r="E5" t="str">
            <v>B</v>
          </cell>
          <cell r="F5" t="str">
            <v xml:space="preserve">Ananda Bagus Wida Kanaka baik dalam menggambar dan membentuk tiga dimensi.  Baik dalam menggambar dan membentuk tiga dimensi. </v>
          </cell>
        </row>
        <row r="6">
          <cell r="B6">
            <v>3</v>
          </cell>
          <cell r="C6" t="str">
            <v>DENI FIRYA ATHALLAH PRADINAYA</v>
          </cell>
          <cell r="D6">
            <v>83.333333333333329</v>
          </cell>
          <cell r="E6" t="str">
            <v>B</v>
          </cell>
          <cell r="F6" t="str">
            <v xml:space="preserve">Ananda Deni Firya Athallah Pradinaya baik dalam menggambar dan membentuk tiga dimensi.  Baik dalam menggambar dan membentuk tiga dimensi. </v>
          </cell>
        </row>
        <row r="7">
          <cell r="B7">
            <v>4</v>
          </cell>
          <cell r="C7" t="str">
            <v>DEWI GALUH MULANSARI</v>
          </cell>
          <cell r="D7">
            <v>83.333333333333329</v>
          </cell>
          <cell r="E7" t="str">
            <v>B</v>
          </cell>
          <cell r="F7" t="str">
            <v xml:space="preserve">Ananda Dewi Galuh Mulansari baik dalam menggambar dan membentuk tiga dimensi.  Baik dalam menggambar dan membentuk tiga dimensi. </v>
          </cell>
        </row>
        <row r="8">
          <cell r="B8">
            <v>5</v>
          </cell>
          <cell r="C8" t="str">
            <v>DIAN PUJI LESTARI</v>
          </cell>
          <cell r="D8">
            <v>83.333333333333329</v>
          </cell>
          <cell r="E8" t="str">
            <v>B</v>
          </cell>
          <cell r="F8" t="str">
            <v xml:space="preserve">Ananda Dian Puji Lestari baik dalam menggambar dan membentuk tiga dimensi.  Baik dalam menggambar dan membentuk tiga dimensi. </v>
          </cell>
        </row>
        <row r="9">
          <cell r="B9">
            <v>6</v>
          </cell>
          <cell r="C9" t="str">
            <v>Hafidz Langgeng Prasetyo</v>
          </cell>
          <cell r="D9">
            <v>83.333333333333329</v>
          </cell>
          <cell r="E9" t="str">
            <v>B</v>
          </cell>
          <cell r="F9" t="str">
            <v xml:space="preserve">Ananda Hafidz Langgeng Prasetyo baik dalam menggambar dan membentuk tiga dimensi.  Baik dalam menggambar dan membentuk tiga dimensi. </v>
          </cell>
        </row>
        <row r="10">
          <cell r="B10">
            <v>7</v>
          </cell>
          <cell r="C10" t="str">
            <v>JALU ARTHA AJI MANGGALA HANDOKO</v>
          </cell>
          <cell r="D10">
            <v>83.333333333333329</v>
          </cell>
          <cell r="E10" t="str">
            <v>B</v>
          </cell>
          <cell r="F10" t="str">
            <v xml:space="preserve">Ananda Jalu Artha Aji Manggala Handoko baik dalam menggambar dan membentuk tiga dimensi.  Baik dalam menggambar dan membentuk tiga dimensi. </v>
          </cell>
        </row>
        <row r="11">
          <cell r="B11">
            <v>8</v>
          </cell>
          <cell r="C11" t="str">
            <v>LAURENDHO RADIEFCA MURDIONO</v>
          </cell>
          <cell r="D11">
            <v>83.333333333333329</v>
          </cell>
          <cell r="E11" t="str">
            <v>B</v>
          </cell>
          <cell r="F11" t="str">
            <v xml:space="preserve">Ananda Laurendho Radiefca Murdiono baik dalam menggambar dan membentuk tiga dimensi.  Baik dalam menggambar dan membentuk tiga dimensi. </v>
          </cell>
        </row>
        <row r="12">
          <cell r="B12">
            <v>9</v>
          </cell>
          <cell r="C12" t="str">
            <v>MARSYA MAYDINA DWI RISQITA</v>
          </cell>
          <cell r="D12">
            <v>83.333333333333329</v>
          </cell>
          <cell r="E12" t="str">
            <v>B</v>
          </cell>
          <cell r="F12" t="str">
            <v xml:space="preserve">Ananda Marsya Maydina Dwi Risqita baik dalam menggambar dan membentuk tiga dimensi.  Baik dalam menggambar dan membentuk tiga dimensi. </v>
          </cell>
        </row>
        <row r="13">
          <cell r="B13">
            <v>10</v>
          </cell>
          <cell r="C13" t="str">
            <v>MILA SARASWATI</v>
          </cell>
          <cell r="D13">
            <v>83.333333333333329</v>
          </cell>
          <cell r="E13" t="str">
            <v>B</v>
          </cell>
          <cell r="F13" t="str">
            <v xml:space="preserve">Ananda Mila Saraswati baik dalam menggambar dan membentuk tiga dimensi.  Baik dalam menggambar dan membentuk tiga dimensi. </v>
          </cell>
        </row>
        <row r="14">
          <cell r="B14">
            <v>11</v>
          </cell>
          <cell r="C14" t="str">
            <v>MUHAMMAD ARKAN ALLY RACHMAD</v>
          </cell>
          <cell r="D14">
            <v>83.333333333333329</v>
          </cell>
          <cell r="E14" t="str">
            <v>B</v>
          </cell>
          <cell r="F14" t="str">
            <v xml:space="preserve">Ananda Muhammad Arkan Ally Rachmad baik dalam menggambar dan membentuk tiga dimensi.  Baik dalam menggambar dan membentuk tiga dimensi. </v>
          </cell>
        </row>
        <row r="15">
          <cell r="B15">
            <v>12</v>
          </cell>
          <cell r="C15" t="str">
            <v>MUHAMMAD REVIAN ABDULLOH FAQIH</v>
          </cell>
          <cell r="D15">
            <v>83.333333333333329</v>
          </cell>
          <cell r="E15" t="str">
            <v>B</v>
          </cell>
          <cell r="F15" t="str">
            <v xml:space="preserve">Ananda Muhammad Revian Abdulloh Faqih baik dalam menggambar dan membentuk tiga dimensi.  Baik dalam menggambar dan membentuk tiga dimensi. </v>
          </cell>
        </row>
        <row r="16">
          <cell r="B16">
            <v>13</v>
          </cell>
          <cell r="C16" t="str">
            <v>NABILA AYUNINGTIAS</v>
          </cell>
          <cell r="D16">
            <v>83.333333333333329</v>
          </cell>
          <cell r="E16" t="str">
            <v>B</v>
          </cell>
          <cell r="F16" t="str">
            <v xml:space="preserve">Ananda Nabila Ayuningtias baik dalam menggambar dan membentuk tiga dimensi.  Baik dalam menggambar dan membentuk tiga dimensi. </v>
          </cell>
        </row>
        <row r="17">
          <cell r="B17">
            <v>14</v>
          </cell>
          <cell r="C17" t="str">
            <v>NARESWARI MASAYU PUSPANINGRUM</v>
          </cell>
          <cell r="D17">
            <v>83.333333333333329</v>
          </cell>
          <cell r="E17" t="str">
            <v>B</v>
          </cell>
          <cell r="F17" t="str">
            <v xml:space="preserve">Ananda Nareswari Masayu Puspaningrum baik dalam menggambar dan membentuk tiga dimensi.  Baik dalam menggambar dan membentuk tiga dimensi. </v>
          </cell>
        </row>
        <row r="18">
          <cell r="B18">
            <v>15</v>
          </cell>
          <cell r="C18" t="str">
            <v>NOVA SASMYTA</v>
          </cell>
          <cell r="D18">
            <v>83.333333333333329</v>
          </cell>
          <cell r="E18" t="str">
            <v>B</v>
          </cell>
          <cell r="F18" t="str">
            <v xml:space="preserve">Ananda Nova Sasmyta baik dalam menggambar dan membentuk tiga dimensi.  Baik dalam menggambar dan membentuk tiga dimensi. </v>
          </cell>
        </row>
        <row r="19">
          <cell r="B19">
            <v>16</v>
          </cell>
          <cell r="C19" t="str">
            <v>RIDHA RAHMATUL AULA RIDWAN</v>
          </cell>
          <cell r="D19">
            <v>83.333333333333329</v>
          </cell>
          <cell r="E19" t="str">
            <v>B</v>
          </cell>
          <cell r="F19" t="str">
            <v xml:space="preserve">Ananda Ridha Rahmatul Aula Ridwan baik dalam menggambar dan membentuk tiga dimensi.  Baik dalam menggambar dan membentuk tiga dimensi. </v>
          </cell>
        </row>
        <row r="20">
          <cell r="B20">
            <v>17</v>
          </cell>
          <cell r="C20" t="str">
            <v>RIFDA SALSABILA PURNAMA</v>
          </cell>
          <cell r="D20">
            <v>83.333333333333329</v>
          </cell>
          <cell r="E20" t="str">
            <v>B</v>
          </cell>
          <cell r="F20" t="str">
            <v xml:space="preserve">Ananda Rifda Salsabila Purnama baik dalam menggambar dan membentuk tiga dimensi.  Baik dalam menggambar dan membentuk tiga dimensi. </v>
          </cell>
        </row>
        <row r="21">
          <cell r="B21">
            <v>18</v>
          </cell>
          <cell r="C21" t="str">
            <v>RIZKI INTAN KURNIAENDAH</v>
          </cell>
          <cell r="D21">
            <v>83.333333333333329</v>
          </cell>
          <cell r="E21" t="str">
            <v>B</v>
          </cell>
          <cell r="F21" t="str">
            <v xml:space="preserve">Ananda Rizki Intan Kurniaendah baik dalam menggambar dan membentuk tiga dimensi.  Baik dalam menggambar dan membentuk tiga dimensi. </v>
          </cell>
        </row>
        <row r="22">
          <cell r="B22">
            <v>19</v>
          </cell>
          <cell r="C22" t="str">
            <v>RIZKY FIRMANSYAH</v>
          </cell>
          <cell r="D22">
            <v>83.333333333333329</v>
          </cell>
          <cell r="E22" t="str">
            <v>B</v>
          </cell>
          <cell r="F22" t="str">
            <v xml:space="preserve">Ananda Rizky Firmansyah baik dalam menggambar dan membentuk tiga dimensi.  Baik dalam menggambar dan membentuk tiga dimensi. </v>
          </cell>
        </row>
        <row r="23">
          <cell r="B23">
            <v>20</v>
          </cell>
          <cell r="C23" t="str">
            <v>SAFIRA NUR LAYLA RAMADHANI</v>
          </cell>
          <cell r="D23">
            <v>83.333333333333329</v>
          </cell>
          <cell r="E23" t="str">
            <v>B</v>
          </cell>
          <cell r="F23" t="str">
            <v xml:space="preserve">Ananda Safira Nur Layla Ramadhani baik dalam menggambar dan membentuk tiga dimensi.  Baik dalam menggambar dan membentuk tiga dimensi. </v>
          </cell>
        </row>
        <row r="24">
          <cell r="B24">
            <v>21</v>
          </cell>
          <cell r="C24" t="str">
            <v>SHANASTRI RUFAIDA</v>
          </cell>
          <cell r="D24">
            <v>83.333333333333329</v>
          </cell>
          <cell r="E24" t="str">
            <v>B</v>
          </cell>
          <cell r="F24" t="str">
            <v xml:space="preserve">Ananda Shanastri Rufaida baik dalam menggambar dan membentuk tiga dimensi.  Baik dalam menggambar dan membentuk tiga dimensi. </v>
          </cell>
        </row>
        <row r="25">
          <cell r="B25">
            <v>22</v>
          </cell>
          <cell r="C25" t="str">
            <v>SHIAM SAHARA</v>
          </cell>
          <cell r="D25">
            <v>83.333333333333329</v>
          </cell>
          <cell r="E25" t="str">
            <v>B</v>
          </cell>
          <cell r="F25" t="str">
            <v xml:space="preserve">Ananda Shiam Sahara baik dalam menggambar dan membentuk tiga dimensi.  Baik dalam menggambar dan membentuk tiga dimensi. </v>
          </cell>
        </row>
        <row r="26">
          <cell r="B26">
            <v>23</v>
          </cell>
          <cell r="C26" t="str">
            <v>SUSAN APRILIA PUTRI</v>
          </cell>
          <cell r="D26">
            <v>83.333333333333329</v>
          </cell>
          <cell r="E26" t="str">
            <v>B</v>
          </cell>
          <cell r="F26" t="str">
            <v xml:space="preserve">Ananda Susan Aprilia Putri baik dalam menggambar dan membentuk tiga dimensi.  Baik dalam menggambar dan membentuk tiga dimensi. </v>
          </cell>
        </row>
        <row r="27">
          <cell r="B27">
            <v>24</v>
          </cell>
          <cell r="C27" t="str">
            <v>SYIFAUL CHUSNA BANATU ROHMI HADI</v>
          </cell>
          <cell r="D27">
            <v>83.333333333333329</v>
          </cell>
          <cell r="E27" t="str">
            <v>B</v>
          </cell>
          <cell r="F27" t="str">
            <v xml:space="preserve">Ananda Syifaul Chusna Banatu Rohmi Hadi baik dalam menggambar dan membentuk tiga dimensi.  Baik dalam menggambar dan membentuk tiga dimensi. </v>
          </cell>
        </row>
        <row r="28">
          <cell r="B28">
            <v>25</v>
          </cell>
          <cell r="C28" t="str">
            <v>VANESSA VICKY AYU LESTARI</v>
          </cell>
          <cell r="D28">
            <v>83.333333333333329</v>
          </cell>
          <cell r="E28" t="str">
            <v>B</v>
          </cell>
          <cell r="F28" t="str">
            <v xml:space="preserve">Ananda Vanessa Vicky Ayu Lestari baik dalam menggambar dan membentuk tiga dimensi.  Baik dalam menggambar dan membentuk tiga dimensi. </v>
          </cell>
        </row>
        <row r="29">
          <cell r="B29">
            <v>26</v>
          </cell>
          <cell r="C29" t="str">
            <v>WIBI NUR FIRMANSYAH</v>
          </cell>
          <cell r="D29">
            <v>83.333333333333329</v>
          </cell>
          <cell r="E29" t="str">
            <v>B</v>
          </cell>
          <cell r="F29" t="str">
            <v xml:space="preserve">Ananda Wibi Nur Firmansyah baik dalam menggambar dan membentuk tiga dimensi.  Baik dalam menggambar dan membentuk tiga dimensi. </v>
          </cell>
        </row>
        <row r="30">
          <cell r="B30">
            <v>27</v>
          </cell>
          <cell r="C30" t="str">
            <v>ZULFIDA NURUL MAZIDAH</v>
          </cell>
          <cell r="D30">
            <v>83.333333333333329</v>
          </cell>
          <cell r="E30" t="str">
            <v>B</v>
          </cell>
          <cell r="F30" t="str">
            <v xml:space="preserve">Ananda Zulfida Nurul Mazidah baik dalam menggambar dan membentuk tiga dimensi.  Baik dalam menggambar dan membentuk tiga dimensi. </v>
          </cell>
        </row>
        <row r="31">
          <cell r="B31">
            <v>28</v>
          </cell>
          <cell r="C31" t="str">
            <v>AZKA AFINA KHOIRUL IZA</v>
          </cell>
          <cell r="D31">
            <v>83.333333333333329</v>
          </cell>
          <cell r="E31" t="str">
            <v>B</v>
          </cell>
          <cell r="F31" t="str">
            <v xml:space="preserve">Ananda Azka Afina Khoirul Iza baik dalam menggambar dan membentuk tiga dimensi.  Baik dalam menggambar dan membentuk tiga dimensi. </v>
          </cell>
        </row>
        <row r="32">
          <cell r="B32">
            <v>29</v>
          </cell>
          <cell r="C32" t="str">
            <v>BAGUS WIDA KANAKA</v>
          </cell>
          <cell r="D32">
            <v>83.333333333333329</v>
          </cell>
          <cell r="E32" t="str">
            <v>B</v>
          </cell>
          <cell r="F32" t="str">
            <v xml:space="preserve">Ananda Bagus Wida Kanaka baik dalam menggambar dan membentuk tiga dimensi.  Baik dalam menggambar dan membentuk tiga dimensi. </v>
          </cell>
        </row>
        <row r="33">
          <cell r="B33">
            <v>30</v>
          </cell>
          <cell r="C33" t="str">
            <v>DENI FIRYA ATHALLAH PRADINAYA</v>
          </cell>
          <cell r="D33">
            <v>83.333333333333329</v>
          </cell>
          <cell r="E33" t="str">
            <v>B</v>
          </cell>
          <cell r="F33" t="str">
            <v xml:space="preserve">Ananda Deni Firya Athallah Pradinaya baik dalam menggambar dan membentuk tiga dimensi.  Baik dalam menggambar dan membentuk tiga dimensi. </v>
          </cell>
        </row>
        <row r="34">
          <cell r="B34">
            <v>31</v>
          </cell>
          <cell r="C34" t="str">
            <v>DEWI GALUH MULANSARI</v>
          </cell>
          <cell r="D34">
            <v>83.333333333333329</v>
          </cell>
          <cell r="E34" t="str">
            <v>B</v>
          </cell>
          <cell r="F34" t="str">
            <v xml:space="preserve">Ananda Dewi Galuh Mulansari baik dalam menggambar dan membentuk tiga dimensi.  Baik dalam menggambar dan membentuk tiga dimensi. </v>
          </cell>
        </row>
        <row r="35">
          <cell r="B35">
            <v>32</v>
          </cell>
          <cell r="C35" t="str">
            <v>DIAN PUJI LESTARI</v>
          </cell>
          <cell r="D35">
            <v>83.333333333333329</v>
          </cell>
          <cell r="E35" t="str">
            <v>B</v>
          </cell>
          <cell r="F35" t="str">
            <v xml:space="preserve">Ananda Dian Puji Lestari baik dalam menggambar dan membentuk tiga dimensi.  Baik dalam menggambar dan membentuk tiga dimensi. </v>
          </cell>
        </row>
        <row r="36">
          <cell r="B36">
            <v>33</v>
          </cell>
          <cell r="C36" t="str">
            <v>Hafidz Langgeng Prasetyo</v>
          </cell>
          <cell r="D36">
            <v>83.333333333333329</v>
          </cell>
          <cell r="E36" t="str">
            <v>B</v>
          </cell>
          <cell r="F36" t="str">
            <v xml:space="preserve">Ananda Hafidz Langgeng Prasetyo baik dalam menggambar dan membentuk tiga dimensi.  Baik dalam menggambar dan membentuk tiga dimensi. </v>
          </cell>
        </row>
        <row r="37">
          <cell r="B37">
            <v>34</v>
          </cell>
          <cell r="C37" t="str">
            <v>JALU ARTHA AJI MANGGALA HANDOKO</v>
          </cell>
          <cell r="D37">
            <v>83.333333333333329</v>
          </cell>
          <cell r="E37" t="str">
            <v>B</v>
          </cell>
          <cell r="F37" t="str">
            <v xml:space="preserve">Ananda Jalu Artha Aji Manggala Handoko baik dalam menggambar dan membentuk tiga dimensi.  Baik dalam menggambar dan membentuk tiga dimensi. </v>
          </cell>
        </row>
        <row r="38">
          <cell r="B38">
            <v>35</v>
          </cell>
          <cell r="C38" t="str">
            <v>LAURENDHO RADIEFCA MURDIONO</v>
          </cell>
          <cell r="D38">
            <v>83.333333333333329</v>
          </cell>
          <cell r="E38" t="str">
            <v>B</v>
          </cell>
          <cell r="F38" t="str">
            <v xml:space="preserve">Ananda Laurendho Radiefca Murdiono baik dalam menggambar dan membentuk tiga dimensi.  Baik dalam menggambar dan membentuk tiga dimensi. </v>
          </cell>
        </row>
        <row r="39">
          <cell r="B39">
            <v>36</v>
          </cell>
          <cell r="C39" t="str">
            <v>MARSYA MAYDINA DWI RISQITA</v>
          </cell>
          <cell r="D39">
            <v>83.333333333333329</v>
          </cell>
          <cell r="E39" t="str">
            <v>B</v>
          </cell>
          <cell r="F39" t="str">
            <v xml:space="preserve">Ananda Marsya Maydina Dwi Risqita baik dalam menggambar dan membentuk tiga dimensi.  Baik dalam menggambar dan membentuk tiga dimensi. </v>
          </cell>
        </row>
        <row r="40">
          <cell r="B40">
            <v>37</v>
          </cell>
          <cell r="C40" t="str">
            <v>MILA SARASWATI</v>
          </cell>
          <cell r="D40">
            <v>83.333333333333329</v>
          </cell>
          <cell r="E40" t="str">
            <v>B</v>
          </cell>
          <cell r="F40" t="str">
            <v xml:space="preserve">Ananda Mila Saraswati baik dalam menggambar dan membentuk tiga dimensi.  Baik dalam menggambar dan membentuk tiga dimensi. </v>
          </cell>
        </row>
        <row r="41">
          <cell r="B41">
            <v>38</v>
          </cell>
          <cell r="C41" t="str">
            <v>MUHAMMAD ARKAN ALLY RACHMAD</v>
          </cell>
          <cell r="D41">
            <v>83.333333333333329</v>
          </cell>
          <cell r="E41" t="str">
            <v>B</v>
          </cell>
          <cell r="F41" t="str">
            <v xml:space="preserve">Ananda Muhammad Arkan Ally Rachmad baik dalam menggambar dan membentuk tiga dimensi.  Baik dalam menggambar dan membentuk tiga dimensi. </v>
          </cell>
        </row>
        <row r="42">
          <cell r="B42">
            <v>39</v>
          </cell>
          <cell r="C42" t="str">
            <v>MUHAMMAD REVIAN ABDULLOH FAQIH</v>
          </cell>
          <cell r="D42">
            <v>83.333333333333329</v>
          </cell>
          <cell r="E42" t="str">
            <v>B</v>
          </cell>
          <cell r="F42" t="str">
            <v xml:space="preserve">Ananda Muhammad Revian Abdulloh Faqih baik dalam menggambar dan membentuk tiga dimensi.  Baik dalam menggambar dan membentuk tiga dimensi. </v>
          </cell>
        </row>
        <row r="43">
          <cell r="B43">
            <v>40</v>
          </cell>
          <cell r="C43" t="str">
            <v>NABILA AYUNINGTIAS</v>
          </cell>
          <cell r="D43">
            <v>83.333333333333329</v>
          </cell>
          <cell r="E43" t="str">
            <v>B</v>
          </cell>
          <cell r="F43" t="str">
            <v xml:space="preserve">Ananda Nabila Ayuningtias baik dalam menggambar dan membentuk tiga dimensi.  Baik dalam menggambar dan membentuk tiga dimensi. </v>
          </cell>
        </row>
        <row r="44">
          <cell r="B44">
            <v>41</v>
          </cell>
          <cell r="C44" t="str">
            <v>NARESWARI MASAYU PUSPANINGRUM</v>
          </cell>
          <cell r="D44">
            <v>83.333333333333329</v>
          </cell>
          <cell r="E44" t="str">
            <v>B</v>
          </cell>
          <cell r="F44" t="str">
            <v xml:space="preserve">Ananda Nareswari Masayu Puspaningrum baik dalam menggambar dan membentuk tiga dimensi.  Baik dalam menggambar dan membentuk tiga dimensi. </v>
          </cell>
        </row>
        <row r="45">
          <cell r="B45">
            <v>42</v>
          </cell>
          <cell r="C45" t="str">
            <v>NOVA SASMYTA</v>
          </cell>
          <cell r="D45">
            <v>83.333333333333329</v>
          </cell>
          <cell r="E45" t="str">
            <v>B</v>
          </cell>
          <cell r="F45" t="str">
            <v xml:space="preserve">Ananda Nova Sasmyta baik dalam menggambar dan membentuk tiga dimensi.  Baik dalam menggambar dan membentuk tiga dimensi. </v>
          </cell>
        </row>
        <row r="46">
          <cell r="B46">
            <v>43</v>
          </cell>
          <cell r="C46" t="str">
            <v>RIDHA RAHMATUL AULA RIDWAN</v>
          </cell>
          <cell r="D46">
            <v>83.333333333333329</v>
          </cell>
          <cell r="E46" t="str">
            <v>B</v>
          </cell>
          <cell r="F46" t="str">
            <v xml:space="preserve">Ananda Ridha Rahmatul Aula Ridwan baik dalam menggambar dan membentuk tiga dimensi.  Baik dalam menggambar dan membentuk tiga dimensi. </v>
          </cell>
        </row>
        <row r="47">
          <cell r="B47">
            <v>44</v>
          </cell>
          <cell r="C47" t="str">
            <v>RIFDA SALSABILA PURNAMA</v>
          </cell>
          <cell r="D47">
            <v>83.333333333333329</v>
          </cell>
          <cell r="E47" t="str">
            <v>B</v>
          </cell>
          <cell r="F47" t="str">
            <v xml:space="preserve">Ananda Rifda Salsabila Purnama baik dalam menggambar dan membentuk tiga dimensi.  Baik dalam menggambar dan membentuk tiga dimensi. </v>
          </cell>
        </row>
        <row r="48">
          <cell r="B48">
            <v>45</v>
          </cell>
          <cell r="C48" t="str">
            <v>RIZKI INTAN KURNIAENDAH</v>
          </cell>
          <cell r="D48">
            <v>83.333333333333329</v>
          </cell>
          <cell r="E48" t="str">
            <v>B</v>
          </cell>
          <cell r="F48" t="str">
            <v xml:space="preserve">Ananda Rizki Intan Kurniaendah baik dalam menggambar dan membentuk tiga dimensi.  Baik dalam menggambar dan membentuk tiga dimensi. </v>
          </cell>
        </row>
        <row r="49">
          <cell r="B49">
            <v>46</v>
          </cell>
          <cell r="C49" t="str">
            <v>RIZKY FIRMANSYAH</v>
          </cell>
          <cell r="D49">
            <v>83.333333333333329</v>
          </cell>
          <cell r="E49" t="str">
            <v>B</v>
          </cell>
          <cell r="F49" t="str">
            <v xml:space="preserve">Ananda Rizky Firmansyah baik dalam menggambar dan membentuk tiga dimensi.  Baik dalam menggambar dan membentuk tiga dimensi. </v>
          </cell>
        </row>
        <row r="50">
          <cell r="B50">
            <v>47</v>
          </cell>
          <cell r="C50" t="str">
            <v>SAFIRA NUR LAYLA RAMADHANI</v>
          </cell>
          <cell r="D50">
            <v>83.333333333333329</v>
          </cell>
          <cell r="E50" t="str">
            <v>B</v>
          </cell>
          <cell r="F50" t="str">
            <v xml:space="preserve">Ananda Safira Nur Layla Ramadhani baik dalam menggambar dan membentuk tiga dimensi.  Baik dalam menggambar dan membentuk tiga dimensi. </v>
          </cell>
        </row>
        <row r="51">
          <cell r="B51">
            <v>48</v>
          </cell>
          <cell r="C51" t="str">
            <v>SHANASTRI RUFAIDA</v>
          </cell>
          <cell r="D51">
            <v>83.333333333333329</v>
          </cell>
          <cell r="E51" t="str">
            <v>B</v>
          </cell>
          <cell r="F51" t="str">
            <v xml:space="preserve">Ananda Shanastri Rufaida baik dalam menggambar dan membentuk tiga dimensi.  Baik dalam menggambar dan membentuk tiga dimensi. </v>
          </cell>
        </row>
        <row r="52">
          <cell r="B52">
            <v>49</v>
          </cell>
          <cell r="C52" t="str">
            <v>SHIAM SAHARA</v>
          </cell>
          <cell r="D52">
            <v>83.333333333333329</v>
          </cell>
          <cell r="E52" t="str">
            <v>B</v>
          </cell>
          <cell r="F52" t="str">
            <v xml:space="preserve">Ananda Shiam Sahara baik dalam menggambar dan membentuk tiga dimensi.  Baik dalam menggambar dan membentuk tiga dimensi. </v>
          </cell>
        </row>
        <row r="53">
          <cell r="B53">
            <v>50</v>
          </cell>
          <cell r="C53" t="str">
            <v>SUSAN APRILIA PUTRI</v>
          </cell>
          <cell r="D53">
            <v>83.333333333333329</v>
          </cell>
          <cell r="E53" t="str">
            <v>B</v>
          </cell>
          <cell r="F53" t="str">
            <v xml:space="preserve">Ananda Susan Aprilia Putri baik dalam menggambar dan membentuk tiga dimensi.  Baik dalam menggambar dan membentuk tiga dimensi. </v>
          </cell>
        </row>
      </sheetData>
      <sheetData sheetId="40"/>
      <sheetData sheetId="41">
        <row r="4">
          <cell r="B4">
            <v>1</v>
          </cell>
          <cell r="C4" t="str">
            <v>AZKA AFINA KHOIRUL IZA</v>
          </cell>
          <cell r="D4">
            <v>83.333333333333329</v>
          </cell>
          <cell r="E4" t="str">
            <v>B</v>
          </cell>
          <cell r="F4" t="str">
            <v>Ananda Azka Afina Khoirul Iza baik dalam Menyajikan hasil identifikasi karakteristik ruang dan pemanfaatan sumber daya alam untuk kesejahteraan masyarakat dari tingkat kota/kabupaten sampai tingkat provinsi..  Baik dalam Menyajikan hasil identifikasi kara</v>
          </cell>
        </row>
        <row r="5">
          <cell r="B5">
            <v>2</v>
          </cell>
          <cell r="C5" t="str">
            <v>BAGUS WIDA KANAKA</v>
          </cell>
          <cell r="D5">
            <v>83.333333333333329</v>
          </cell>
          <cell r="E5" t="str">
            <v>B</v>
          </cell>
          <cell r="F5" t="str">
            <v>Ananda Bagus Wida Kanaka baik dalam Menyajikan hasil identifikasi karakteristik ruang dan pemanfaatan sumber daya alam untuk kesejahteraan masyarakat dari tingkat kota/kabupaten sampai tingkat provinsi..  Baik dalam Menyajikan hasil identifikasi karakteri</v>
          </cell>
        </row>
        <row r="6">
          <cell r="B6">
            <v>3</v>
          </cell>
          <cell r="C6" t="str">
            <v>DENI FIRYA ATHALLAH PRADINAYA</v>
          </cell>
          <cell r="D6">
            <v>83.333333333333329</v>
          </cell>
          <cell r="E6" t="str">
            <v>B</v>
          </cell>
          <cell r="F6" t="str">
            <v>Ananda Deni Firya Athallah Pradinaya baik dalam Menyajikan hasil identifikasi karakteristik ruang dan pemanfaatan sumber daya alam untuk kesejahteraan masyarakat dari tingkat kota/kabupaten sampai tingkat provinsi..  Baik dalam Menyajikan hasil identifika</v>
          </cell>
        </row>
        <row r="7">
          <cell r="B7">
            <v>4</v>
          </cell>
          <cell r="C7" t="str">
            <v>DEWI GALUH MULANSARI</v>
          </cell>
          <cell r="D7">
            <v>83.333333333333329</v>
          </cell>
          <cell r="E7" t="str">
            <v>B</v>
          </cell>
          <cell r="F7" t="str">
            <v>Ananda Dewi Galuh Mulansari baik dalam Menyajikan hasil identifikasi karakteristik ruang dan pemanfaatan sumber daya alam untuk kesejahteraan masyarakat dari tingkat kota/kabupaten sampai tingkat provinsi..  Baik dalam Menyajikan hasil identifikasi karakt</v>
          </cell>
        </row>
        <row r="8">
          <cell r="B8">
            <v>5</v>
          </cell>
          <cell r="C8" t="str">
            <v>DIAN PUJI LESTARI</v>
          </cell>
          <cell r="D8">
            <v>83.333333333333329</v>
          </cell>
          <cell r="E8" t="str">
            <v>B</v>
          </cell>
          <cell r="F8" t="str">
            <v>Ananda Dian Puji Lestari baik dalam Menyajikan hasil identifikasi karakteristik ruang dan pemanfaatan sumber daya alam untuk kesejahteraan masyarakat dari tingkat kota/kabupaten sampai tingkat provinsi..  Baik dalam Menyajikan hasil identifikasi karakteri</v>
          </cell>
        </row>
        <row r="9">
          <cell r="B9">
            <v>6</v>
          </cell>
          <cell r="C9" t="str">
            <v>Hafidz Langgeng Prasetyo</v>
          </cell>
          <cell r="D9">
            <v>83.333333333333329</v>
          </cell>
          <cell r="E9" t="str">
            <v>B</v>
          </cell>
          <cell r="F9" t="str">
            <v>Ananda Hafidz Langgeng Prasetyo baik dalam Menyajikan hasil identifikasi karakteristik ruang dan pemanfaatan sumber daya alam untuk kesejahteraan masyarakat dari tingkat kota/kabupaten sampai tingkat provinsi..  Baik dalam Menyajikan hasil identifikasi ka</v>
          </cell>
        </row>
        <row r="10">
          <cell r="B10">
            <v>7</v>
          </cell>
          <cell r="C10" t="str">
            <v>JALU ARTHA AJI MANGGALA HANDOKO</v>
          </cell>
          <cell r="D10">
            <v>83.333333333333329</v>
          </cell>
          <cell r="E10" t="str">
            <v>B</v>
          </cell>
          <cell r="F10" t="str">
            <v>Ananda Jalu Artha Aji Manggala Handoko baik dalam Menyajikan hasil identifikasi karakteristik ruang dan pemanfaatan sumber daya alam untuk kesejahteraan masyarakat dari tingkat kota/kabupaten sampai tingkat provinsi..  Baik dalam Menyajikan hasil identifi</v>
          </cell>
        </row>
        <row r="11">
          <cell r="B11">
            <v>8</v>
          </cell>
          <cell r="C11" t="str">
            <v>LAURENDHO RADIEFCA MURDIONO</v>
          </cell>
          <cell r="D11">
            <v>83.333333333333329</v>
          </cell>
          <cell r="E11" t="str">
            <v>B</v>
          </cell>
          <cell r="F11" t="str">
            <v>Ananda Laurendho Radiefca Murdiono baik dalam Menyajikan hasil identifikasi karakteristik ruang dan pemanfaatan sumber daya alam untuk kesejahteraan masyarakat dari tingkat kota/kabupaten sampai tingkat provinsi..  Baik dalam Menyajikan hasil identifikasi</v>
          </cell>
        </row>
        <row r="12">
          <cell r="B12">
            <v>9</v>
          </cell>
          <cell r="C12" t="str">
            <v>MARSYA MAYDINA DWI RISQITA</v>
          </cell>
          <cell r="D12">
            <v>83.333333333333329</v>
          </cell>
          <cell r="E12" t="str">
            <v>B</v>
          </cell>
          <cell r="F12"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13">
          <cell r="B13">
            <v>10</v>
          </cell>
          <cell r="C13" t="str">
            <v>MILA SARASWATI</v>
          </cell>
          <cell r="D13">
            <v>83.333333333333329</v>
          </cell>
          <cell r="E13" t="str">
            <v>B</v>
          </cell>
          <cell r="F13" t="str">
            <v>Ananda Mila Saraswati baik dalam Menyajikan hasil identifikasi karakteristik ruang dan pemanfaatan sumber daya alam untuk kesejahteraan masyarakat dari tingkat kota/kabupaten sampai tingkat provinsi..  Baik dalam Menyajikan hasil identifikasi karakteristi</v>
          </cell>
        </row>
        <row r="14">
          <cell r="B14">
            <v>11</v>
          </cell>
          <cell r="C14" t="str">
            <v>MUHAMMAD ARKAN ALLY RACHMAD</v>
          </cell>
          <cell r="D14">
            <v>83.333333333333329</v>
          </cell>
          <cell r="E14" t="str">
            <v>B</v>
          </cell>
          <cell r="F14" t="str">
            <v>Ananda Muhammad Arkan Ally Rachmad baik dalam Menyajikan hasil identifikasi karakteristik ruang dan pemanfaatan sumber daya alam untuk kesejahteraan masyarakat dari tingkat kota/kabupaten sampai tingkat provinsi..  Baik dalam Menyajikan hasil identifikasi</v>
          </cell>
        </row>
        <row r="15">
          <cell r="B15">
            <v>12</v>
          </cell>
          <cell r="C15" t="str">
            <v>MUHAMMAD REVIAN ABDULLOH FAQIH</v>
          </cell>
          <cell r="D15">
            <v>83.333333333333329</v>
          </cell>
          <cell r="E15" t="str">
            <v>B</v>
          </cell>
          <cell r="F15" t="str">
            <v>Ananda Muhammad Revian Abdulloh Faqih baik dalam Menyajikan hasil identifikasi karakteristik ruang dan pemanfaatan sumber daya alam untuk kesejahteraan masyarakat dari tingkat kota/kabupaten sampai tingkat provinsi..  Baik dalam Menyajikan hasil identifik</v>
          </cell>
        </row>
        <row r="16">
          <cell r="B16">
            <v>13</v>
          </cell>
          <cell r="C16" t="str">
            <v>NABILA AYUNINGTIAS</v>
          </cell>
          <cell r="D16">
            <v>83.333333333333329</v>
          </cell>
          <cell r="E16" t="str">
            <v>B</v>
          </cell>
          <cell r="F16" t="str">
            <v>Ananda Nabila Ayuningtias baik dalam Menyajikan hasil identifikasi karakteristik ruang dan pemanfaatan sumber daya alam untuk kesejahteraan masyarakat dari tingkat kota/kabupaten sampai tingkat provinsi..  Baik dalam Menyajikan hasil identifikasi karakter</v>
          </cell>
        </row>
        <row r="17">
          <cell r="B17">
            <v>14</v>
          </cell>
          <cell r="C17" t="str">
            <v>NARESWARI MASAYU PUSPANINGRUM</v>
          </cell>
          <cell r="D17">
            <v>83.333333333333329</v>
          </cell>
          <cell r="E17" t="str">
            <v>B</v>
          </cell>
          <cell r="F17" t="str">
            <v>Ananda Nareswari Masayu Puspaningrum baik dalam Menyajikan hasil identifikasi karakteristik ruang dan pemanfaatan sumber daya alam untuk kesejahteraan masyarakat dari tingkat kota/kabupaten sampai tingkat provinsi..  Baik dalam Menyajikan hasil identifika</v>
          </cell>
        </row>
        <row r="18">
          <cell r="B18">
            <v>15</v>
          </cell>
          <cell r="C18" t="str">
            <v>NOVA SASMYTA</v>
          </cell>
          <cell r="D18">
            <v>83.333333333333329</v>
          </cell>
          <cell r="E18" t="str">
            <v>B</v>
          </cell>
          <cell r="F18"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19">
          <cell r="B19">
            <v>16</v>
          </cell>
          <cell r="C19" t="str">
            <v>RIDHA RAHMATUL AULA RIDWAN</v>
          </cell>
          <cell r="D19">
            <v>83.333333333333329</v>
          </cell>
          <cell r="E19" t="str">
            <v>B</v>
          </cell>
          <cell r="F19"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20">
          <cell r="B20">
            <v>17</v>
          </cell>
          <cell r="C20" t="str">
            <v>RIFDA SALSABILA PURNAMA</v>
          </cell>
          <cell r="D20">
            <v>83.333333333333329</v>
          </cell>
          <cell r="E20" t="str">
            <v>B</v>
          </cell>
          <cell r="F20" t="str">
            <v>Ananda Rifda Salsabila Purnama baik dalam Menyajikan hasil identifikasi karakteristik ruang dan pemanfaatan sumber daya alam untuk kesejahteraan masyarakat dari tingkat kota/kabupaten sampai tingkat provinsi..  Baik dalam Menyajikan hasil identifikasi kar</v>
          </cell>
        </row>
        <row r="21">
          <cell r="B21">
            <v>18</v>
          </cell>
          <cell r="C21" t="str">
            <v>RIZKI INTAN KURNIAENDAH</v>
          </cell>
          <cell r="D21">
            <v>83.333333333333329</v>
          </cell>
          <cell r="E21" t="str">
            <v>B</v>
          </cell>
          <cell r="F21" t="str">
            <v>Ananda Rizki Intan Kurniaendah baik dalam Menyajikan hasil identifikasi karakteristik ruang dan pemanfaatan sumber daya alam untuk kesejahteraan masyarakat dari tingkat kota/kabupaten sampai tingkat provinsi..  Baik dalam Menyajikan hasil identifikasi kar</v>
          </cell>
        </row>
        <row r="22">
          <cell r="B22">
            <v>19</v>
          </cell>
          <cell r="C22" t="str">
            <v>RIZKY FIRMANSYAH</v>
          </cell>
          <cell r="D22">
            <v>83.333333333333329</v>
          </cell>
          <cell r="E22" t="str">
            <v>B</v>
          </cell>
          <cell r="F22" t="str">
            <v>Ananda Rizky Firmansyah baik dalam Menyajikan hasil identifikasi karakteristik ruang dan pemanfaatan sumber daya alam untuk kesejahteraan masyarakat dari tingkat kota/kabupaten sampai tingkat provinsi..  Baik dalam Menyajikan hasil identifikasi karakteris</v>
          </cell>
        </row>
        <row r="23">
          <cell r="B23">
            <v>20</v>
          </cell>
          <cell r="C23" t="str">
            <v>SAFIRA NUR LAYLA RAMADHANI</v>
          </cell>
          <cell r="D23">
            <v>83.333333333333329</v>
          </cell>
          <cell r="E23" t="str">
            <v>B</v>
          </cell>
          <cell r="F23"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24">
          <cell r="B24">
            <v>21</v>
          </cell>
          <cell r="C24" t="str">
            <v>SHANASTRI RUFAIDA</v>
          </cell>
          <cell r="D24">
            <v>83.333333333333329</v>
          </cell>
          <cell r="E24" t="str">
            <v>B</v>
          </cell>
          <cell r="F24" t="str">
            <v>Ananda Shanastri Rufaida baik dalam Menyajikan hasil identifikasi karakteristik ruang dan pemanfaatan sumber daya alam untuk kesejahteraan masyarakat dari tingkat kota/kabupaten sampai tingkat provinsi..  Baik dalam Menyajikan hasil identifikasi karakteri</v>
          </cell>
        </row>
        <row r="25">
          <cell r="B25">
            <v>22</v>
          </cell>
          <cell r="C25" t="str">
            <v>SHIAM SAHARA</v>
          </cell>
          <cell r="D25">
            <v>83.333333333333329</v>
          </cell>
          <cell r="E25" t="str">
            <v>B</v>
          </cell>
          <cell r="F25"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26">
          <cell r="B26">
            <v>23</v>
          </cell>
          <cell r="C26" t="str">
            <v>SUSAN APRILIA PUTRI</v>
          </cell>
          <cell r="D26">
            <v>83.333333333333329</v>
          </cell>
          <cell r="E26" t="str">
            <v>B</v>
          </cell>
          <cell r="F26" t="str">
            <v>Ananda Susan Aprilia Putri baik dalam Menyajikan hasil identifikasi karakteristik ruang dan pemanfaatan sumber daya alam untuk kesejahteraan masyarakat dari tingkat kota/kabupaten sampai tingkat provinsi..  Baik dalam Menyajikan hasil identifikasi karakte</v>
          </cell>
        </row>
        <row r="27">
          <cell r="B27">
            <v>24</v>
          </cell>
          <cell r="C27" t="str">
            <v>SYIFAUL CHUSNA BANATU ROHMI HADI</v>
          </cell>
          <cell r="D27">
            <v>83.333333333333329</v>
          </cell>
          <cell r="E27" t="str">
            <v>B</v>
          </cell>
          <cell r="F27" t="str">
            <v>Ananda Syifaul Chusna Banatu Rohmi Hadi baik dalam Menyajikan hasil identifikasi karakteristik ruang dan pemanfaatan sumber daya alam untuk kesejahteraan masyarakat dari tingkat kota/kabupaten sampai tingkat provinsi..  Baik dalam Menyajikan hasil identif</v>
          </cell>
        </row>
        <row r="28">
          <cell r="B28">
            <v>25</v>
          </cell>
          <cell r="C28" t="str">
            <v>VANESSA VICKY AYU LESTARI</v>
          </cell>
          <cell r="D28">
            <v>83.333333333333329</v>
          </cell>
          <cell r="E28" t="str">
            <v>B</v>
          </cell>
          <cell r="F28" t="str">
            <v>Ananda Vanessa Vicky Ayu Lestari baik dalam Menyajikan hasil identifikasi karakteristik ruang dan pemanfaatan sumber daya alam untuk kesejahteraan masyarakat dari tingkat kota/kabupaten sampai tingkat provinsi..  Baik dalam Menyajikan hasil identifikasi k</v>
          </cell>
        </row>
        <row r="29">
          <cell r="B29">
            <v>26</v>
          </cell>
          <cell r="C29" t="str">
            <v>WIBI NUR FIRMANSYAH</v>
          </cell>
          <cell r="D29">
            <v>83.333333333333329</v>
          </cell>
          <cell r="E29" t="str">
            <v>B</v>
          </cell>
          <cell r="F29" t="str">
            <v>Ananda Wibi Nur Firmansyah baik dalam Menyajikan hasil identifikasi karakteristik ruang dan pemanfaatan sumber daya alam untuk kesejahteraan masyarakat dari tingkat kota/kabupaten sampai tingkat provinsi..  Baik dalam Menyajikan hasil identifikasi karakte</v>
          </cell>
        </row>
        <row r="30">
          <cell r="B30">
            <v>27</v>
          </cell>
          <cell r="C30" t="str">
            <v>ZULFIDA NURUL MAZIDAH</v>
          </cell>
          <cell r="D30">
            <v>83.333333333333329</v>
          </cell>
          <cell r="E30" t="str">
            <v>B</v>
          </cell>
          <cell r="F30" t="str">
            <v>Ananda Zulfida Nurul Mazidah baik dalam Menyajikan hasil identifikasi karakteristik ruang dan pemanfaatan sumber daya alam untuk kesejahteraan masyarakat dari tingkat kota/kabupaten sampai tingkat provinsi..  Baik dalam Menyajikan hasil identifikasi karak</v>
          </cell>
        </row>
        <row r="31">
          <cell r="B31">
            <v>28</v>
          </cell>
          <cell r="C31" t="str">
            <v>AZKA AFINA KHOIRUL IZA</v>
          </cell>
          <cell r="D31">
            <v>83.333333333333329</v>
          </cell>
          <cell r="E31" t="str">
            <v>B</v>
          </cell>
          <cell r="F31" t="str">
            <v>Ananda Azka Afina Khoirul Iza baik dalam Menyajikan hasil identifikasi karakteristik ruang dan pemanfaatan sumber daya alam untuk kesejahteraan masyarakat dari tingkat kota/kabupaten sampai tingkat provinsi..  Baik dalam Menyajikan hasil identifikasi kara</v>
          </cell>
        </row>
        <row r="32">
          <cell r="B32">
            <v>29</v>
          </cell>
          <cell r="C32" t="str">
            <v>BAGUS WIDA KANAKA</v>
          </cell>
          <cell r="D32">
            <v>83.333333333333329</v>
          </cell>
          <cell r="E32" t="str">
            <v>B</v>
          </cell>
          <cell r="F32" t="str">
            <v>Ananda Bagus Wida Kanaka baik dalam Menyajikan hasil identifikasi karakteristik ruang dan pemanfaatan sumber daya alam untuk kesejahteraan masyarakat dari tingkat kota/kabupaten sampai tingkat provinsi..  Baik dalam Menyajikan hasil identifikasi karakteri</v>
          </cell>
        </row>
        <row r="33">
          <cell r="B33">
            <v>30</v>
          </cell>
          <cell r="C33" t="str">
            <v>DENI FIRYA ATHALLAH PRADINAYA</v>
          </cell>
          <cell r="D33">
            <v>83.333333333333329</v>
          </cell>
          <cell r="E33" t="str">
            <v>B</v>
          </cell>
          <cell r="F33" t="str">
            <v>Ananda Deni Firya Athallah Pradinaya baik dalam Menyajikan hasil identifikasi karakteristik ruang dan pemanfaatan sumber daya alam untuk kesejahteraan masyarakat dari tingkat kota/kabupaten sampai tingkat provinsi..  Baik dalam Menyajikan hasil identifika</v>
          </cell>
        </row>
        <row r="34">
          <cell r="B34">
            <v>31</v>
          </cell>
          <cell r="C34" t="str">
            <v>DEWI GALUH MULANSARI</v>
          </cell>
          <cell r="D34">
            <v>83.333333333333329</v>
          </cell>
          <cell r="E34" t="str">
            <v>B</v>
          </cell>
          <cell r="F34" t="str">
            <v>Ananda Dewi Galuh Mulansari baik dalam Menyajikan hasil identifikasi karakteristik ruang dan pemanfaatan sumber daya alam untuk kesejahteraan masyarakat dari tingkat kota/kabupaten sampai tingkat provinsi..  Baik dalam Menyajikan hasil identifikasi karakt</v>
          </cell>
        </row>
        <row r="35">
          <cell r="B35">
            <v>32</v>
          </cell>
          <cell r="C35" t="str">
            <v>DIAN PUJI LESTARI</v>
          </cell>
          <cell r="D35">
            <v>83.333333333333329</v>
          </cell>
          <cell r="E35" t="str">
            <v>B</v>
          </cell>
          <cell r="F35" t="str">
            <v>Ananda Dian Puji Lestari baik dalam Menyajikan hasil identifikasi karakteristik ruang dan pemanfaatan sumber daya alam untuk kesejahteraan masyarakat dari tingkat kota/kabupaten sampai tingkat provinsi..  Baik dalam Menyajikan hasil identifikasi karakteri</v>
          </cell>
        </row>
        <row r="36">
          <cell r="B36">
            <v>33</v>
          </cell>
          <cell r="C36" t="str">
            <v>Hafidz Langgeng Prasetyo</v>
          </cell>
          <cell r="D36">
            <v>83.333333333333329</v>
          </cell>
          <cell r="E36" t="str">
            <v>B</v>
          </cell>
          <cell r="F36" t="str">
            <v>Ananda Hafidz Langgeng Prasetyo baik dalam Menyajikan hasil identifikasi karakteristik ruang dan pemanfaatan sumber daya alam untuk kesejahteraan masyarakat dari tingkat kota/kabupaten sampai tingkat provinsi..  Baik dalam Menyajikan hasil identifikasi ka</v>
          </cell>
        </row>
        <row r="37">
          <cell r="B37">
            <v>34</v>
          </cell>
          <cell r="C37" t="str">
            <v>JALU ARTHA AJI MANGGALA HANDOKO</v>
          </cell>
          <cell r="D37">
            <v>83.333333333333329</v>
          </cell>
          <cell r="E37" t="str">
            <v>B</v>
          </cell>
          <cell r="F37" t="str">
            <v>Ananda Jalu Artha Aji Manggala Handoko baik dalam Menyajikan hasil identifikasi karakteristik ruang dan pemanfaatan sumber daya alam untuk kesejahteraan masyarakat dari tingkat kota/kabupaten sampai tingkat provinsi..  Baik dalam Menyajikan hasil identifi</v>
          </cell>
        </row>
        <row r="38">
          <cell r="B38">
            <v>35</v>
          </cell>
          <cell r="C38" t="str">
            <v>LAURENDHO RADIEFCA MURDIONO</v>
          </cell>
          <cell r="D38">
            <v>83.333333333333329</v>
          </cell>
          <cell r="E38" t="str">
            <v>B</v>
          </cell>
          <cell r="F38" t="str">
            <v>Ananda Laurendho Radiefca Murdiono baik dalam Menyajikan hasil identifikasi karakteristik ruang dan pemanfaatan sumber daya alam untuk kesejahteraan masyarakat dari tingkat kota/kabupaten sampai tingkat provinsi..  Baik dalam Menyajikan hasil identifikasi</v>
          </cell>
        </row>
        <row r="39">
          <cell r="B39">
            <v>36</v>
          </cell>
          <cell r="C39" t="str">
            <v>MARSYA MAYDINA DWI RISQITA</v>
          </cell>
          <cell r="D39">
            <v>83.333333333333329</v>
          </cell>
          <cell r="E39" t="str">
            <v>B</v>
          </cell>
          <cell r="F39"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40">
          <cell r="B40">
            <v>37</v>
          </cell>
          <cell r="C40" t="str">
            <v>MILA SARASWATI</v>
          </cell>
          <cell r="D40">
            <v>83.333333333333329</v>
          </cell>
          <cell r="E40" t="str">
            <v>B</v>
          </cell>
          <cell r="F40" t="str">
            <v>Ananda Mila Saraswati baik dalam Menyajikan hasil identifikasi karakteristik ruang dan pemanfaatan sumber daya alam untuk kesejahteraan masyarakat dari tingkat kota/kabupaten sampai tingkat provinsi..  Baik dalam Menyajikan hasil identifikasi karakteristi</v>
          </cell>
        </row>
        <row r="41">
          <cell r="B41">
            <v>38</v>
          </cell>
          <cell r="C41" t="str">
            <v>MUHAMMAD ARKAN ALLY RACHMAD</v>
          </cell>
          <cell r="D41">
            <v>83.333333333333329</v>
          </cell>
          <cell r="E41" t="str">
            <v>B</v>
          </cell>
          <cell r="F41" t="str">
            <v>Ananda Muhammad Arkan Ally Rachmad baik dalam Menyajikan hasil identifikasi karakteristik ruang dan pemanfaatan sumber daya alam untuk kesejahteraan masyarakat dari tingkat kota/kabupaten sampai tingkat provinsi..  Baik dalam Menyajikan hasil identifikasi</v>
          </cell>
        </row>
        <row r="42">
          <cell r="B42">
            <v>39</v>
          </cell>
          <cell r="C42" t="str">
            <v>MUHAMMAD REVIAN ABDULLOH FAQIH</v>
          </cell>
          <cell r="D42">
            <v>83.333333333333329</v>
          </cell>
          <cell r="E42" t="str">
            <v>B</v>
          </cell>
          <cell r="F42" t="str">
            <v>Ananda Muhammad Revian Abdulloh Faqih baik dalam Menyajikan hasil identifikasi karakteristik ruang dan pemanfaatan sumber daya alam untuk kesejahteraan masyarakat dari tingkat kota/kabupaten sampai tingkat provinsi..  Baik dalam Menyajikan hasil identifik</v>
          </cell>
        </row>
        <row r="43">
          <cell r="B43">
            <v>40</v>
          </cell>
          <cell r="C43" t="str">
            <v>NABILA AYUNINGTIAS</v>
          </cell>
          <cell r="D43">
            <v>83.333333333333329</v>
          </cell>
          <cell r="E43" t="str">
            <v>B</v>
          </cell>
          <cell r="F43" t="str">
            <v>Ananda Nabila Ayuningtias baik dalam Menyajikan hasil identifikasi karakteristik ruang dan pemanfaatan sumber daya alam untuk kesejahteraan masyarakat dari tingkat kota/kabupaten sampai tingkat provinsi..  Baik dalam Menyajikan hasil identifikasi karakter</v>
          </cell>
        </row>
        <row r="44">
          <cell r="B44">
            <v>41</v>
          </cell>
          <cell r="C44" t="str">
            <v>NARESWARI MASAYU PUSPANINGRUM</v>
          </cell>
          <cell r="D44">
            <v>83.333333333333329</v>
          </cell>
          <cell r="E44" t="str">
            <v>B</v>
          </cell>
          <cell r="F44" t="str">
            <v>Ananda Nareswari Masayu Puspaningrum baik dalam Menyajikan hasil identifikasi karakteristik ruang dan pemanfaatan sumber daya alam untuk kesejahteraan masyarakat dari tingkat kota/kabupaten sampai tingkat provinsi..  Baik dalam Menyajikan hasil identifika</v>
          </cell>
        </row>
        <row r="45">
          <cell r="B45">
            <v>42</v>
          </cell>
          <cell r="C45" t="str">
            <v>NOVA SASMYTA</v>
          </cell>
          <cell r="D45">
            <v>83.333333333333329</v>
          </cell>
          <cell r="E45" t="str">
            <v>B</v>
          </cell>
          <cell r="F45"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46">
          <cell r="B46">
            <v>43</v>
          </cell>
          <cell r="C46" t="str">
            <v>RIDHA RAHMATUL AULA RIDWAN</v>
          </cell>
          <cell r="D46">
            <v>83.333333333333329</v>
          </cell>
          <cell r="E46" t="str">
            <v>B</v>
          </cell>
          <cell r="F46"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47">
          <cell r="B47">
            <v>44</v>
          </cell>
          <cell r="C47" t="str">
            <v>RIFDA SALSABILA PURNAMA</v>
          </cell>
          <cell r="D47">
            <v>83.333333333333329</v>
          </cell>
          <cell r="E47" t="str">
            <v>B</v>
          </cell>
          <cell r="F47" t="str">
            <v>Ananda Rifda Salsabila Purnama baik dalam Menyajikan hasil identifikasi karakteristik ruang dan pemanfaatan sumber daya alam untuk kesejahteraan masyarakat dari tingkat kota/kabupaten sampai tingkat provinsi..  Baik dalam Menyajikan hasil identifikasi kar</v>
          </cell>
        </row>
        <row r="48">
          <cell r="B48">
            <v>45</v>
          </cell>
          <cell r="C48" t="str">
            <v>RIZKI INTAN KURNIAENDAH</v>
          </cell>
          <cell r="D48">
            <v>83.333333333333329</v>
          </cell>
          <cell r="E48" t="str">
            <v>B</v>
          </cell>
          <cell r="F48" t="str">
            <v>Ananda Rizki Intan Kurniaendah baik dalam Menyajikan hasil identifikasi karakteristik ruang dan pemanfaatan sumber daya alam untuk kesejahteraan masyarakat dari tingkat kota/kabupaten sampai tingkat provinsi..  Baik dalam Menyajikan hasil identifikasi kar</v>
          </cell>
        </row>
        <row r="49">
          <cell r="B49">
            <v>46</v>
          </cell>
          <cell r="C49" t="str">
            <v>RIZKY FIRMANSYAH</v>
          </cell>
          <cell r="D49">
            <v>83.333333333333329</v>
          </cell>
          <cell r="E49" t="str">
            <v>B</v>
          </cell>
          <cell r="F49" t="str">
            <v>Ananda Rizky Firmansyah baik dalam Menyajikan hasil identifikasi karakteristik ruang dan pemanfaatan sumber daya alam untuk kesejahteraan masyarakat dari tingkat kota/kabupaten sampai tingkat provinsi..  Baik dalam Menyajikan hasil identifikasi karakteris</v>
          </cell>
        </row>
        <row r="50">
          <cell r="B50">
            <v>47</v>
          </cell>
          <cell r="C50" t="str">
            <v>SAFIRA NUR LAYLA RAMADHANI</v>
          </cell>
          <cell r="D50">
            <v>83.333333333333329</v>
          </cell>
          <cell r="E50" t="str">
            <v>B</v>
          </cell>
          <cell r="F50"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51">
          <cell r="B51">
            <v>48</v>
          </cell>
          <cell r="C51" t="str">
            <v>SHANASTRI RUFAIDA</v>
          </cell>
          <cell r="D51">
            <v>83.333333333333329</v>
          </cell>
          <cell r="E51" t="str">
            <v>B</v>
          </cell>
          <cell r="F51" t="str">
            <v>Ananda Shanastri Rufaida baik dalam Menyajikan hasil identifikasi karakteristik ruang dan pemanfaatan sumber daya alam untuk kesejahteraan masyarakat dari tingkat kota/kabupaten sampai tingkat provinsi..  Baik dalam Menyajikan hasil identifikasi karakteri</v>
          </cell>
        </row>
        <row r="52">
          <cell r="B52">
            <v>49</v>
          </cell>
          <cell r="C52" t="str">
            <v>SHIAM SAHARA</v>
          </cell>
          <cell r="D52">
            <v>83.333333333333329</v>
          </cell>
          <cell r="E52" t="str">
            <v>B</v>
          </cell>
          <cell r="F52"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53">
          <cell r="B53">
            <v>50</v>
          </cell>
          <cell r="C53" t="str">
            <v>SUSAN APRILIA PUTRI</v>
          </cell>
          <cell r="D53">
            <v>83.333333333333329</v>
          </cell>
          <cell r="E53" t="str">
            <v>B</v>
          </cell>
          <cell r="F53" t="str">
            <v>Ananda Susan Aprilia Putri baik dalam Menyajikan hasil identifikasi karakteristik ruang dan pemanfaatan sumber daya alam untuk kesejahteraan masyarakat dari tingkat kota/kabupaten sampai tingkat provinsi..  Baik dalam Menyajikan hasil identifikasi karakte</v>
          </cell>
        </row>
      </sheetData>
      <sheetData sheetId="42"/>
      <sheetData sheetId="43">
        <row r="4">
          <cell r="B4">
            <v>1</v>
          </cell>
          <cell r="C4" t="str">
            <v>AZKA AFINA KHOIRUL IZA</v>
          </cell>
          <cell r="D4">
            <v>83.333333333333329</v>
          </cell>
          <cell r="E4" t="str">
            <v>B</v>
          </cell>
          <cell r="F4" t="str">
            <v>Ananda Azka Afina Khoirul Iza baik dalam menceritakan makna hubungan simbol dengan sila-sila Pancasila sebagai satu kesatuan dalam kehidupan sehari-hari.  Baik dalam menceritakan makna hubungan simbol dengan sila-sila Pancasila sebagai satu kesatuan dalam</v>
          </cell>
        </row>
        <row r="5">
          <cell r="B5">
            <v>2</v>
          </cell>
          <cell r="C5" t="str">
            <v>BAGUS WIDA KANAKA</v>
          </cell>
          <cell r="D5">
            <v>83.333333333333329</v>
          </cell>
          <cell r="E5" t="str">
            <v>B</v>
          </cell>
          <cell r="F5" t="str">
            <v>Ananda Bagus Wida Kanaka baik dalam menceritakan makna hubungan simbol dengan sila-sila Pancasila sebagai satu kesatuan dalam kehidupan sehari-hari.  Baik dalam menceritakan makna hubungan simbol dengan sila-sila Pancasila sebagai satu kesatuan dalam kehi</v>
          </cell>
        </row>
        <row r="6">
          <cell r="B6">
            <v>3</v>
          </cell>
          <cell r="C6" t="str">
            <v>DENI FIRYA ATHALLAH PRADINAYA</v>
          </cell>
          <cell r="D6">
            <v>83.333333333333329</v>
          </cell>
          <cell r="E6" t="str">
            <v>B</v>
          </cell>
          <cell r="F6" t="str">
            <v>Ananda Deni Firya Athallah Pradinaya baik dalam menceritakan makna hubungan simbol dengan sila-sila Pancasila sebagai satu kesatuan dalam kehidupan sehari-hari.  Baik dalam menceritakan makna hubungan simbol dengan sila-sila Pancasila sebagai satu kesatua</v>
          </cell>
        </row>
        <row r="7">
          <cell r="B7">
            <v>4</v>
          </cell>
          <cell r="C7" t="str">
            <v>DEWI GALUH MULANSARI</v>
          </cell>
          <cell r="D7">
            <v>83.333333333333329</v>
          </cell>
          <cell r="E7" t="str">
            <v>B</v>
          </cell>
          <cell r="F7" t="str">
            <v>Ananda Dewi Galuh Mulansari baik dalam menceritakan makna hubungan simbol dengan sila-sila Pancasila sebagai satu kesatuan dalam kehidupan sehari-hari.  Baik dalam menceritakan makna hubungan simbol dengan sila-sila Pancasila sebagai satu kesatuan dalam k</v>
          </cell>
        </row>
        <row r="8">
          <cell r="B8">
            <v>5</v>
          </cell>
          <cell r="C8" t="str">
            <v>DIAN PUJI LESTARI</v>
          </cell>
          <cell r="D8">
            <v>83.333333333333329</v>
          </cell>
          <cell r="E8" t="str">
            <v>B</v>
          </cell>
          <cell r="F8" t="str">
            <v>Ananda Dian Puji Lestari baik dalam menceritakan makna hubungan simbol dengan sila-sila Pancasila sebagai satu kesatuan dalam kehidupan sehari-hari.  Baik dalam menceritakan makna hubungan simbol dengan sila-sila Pancasila sebagai satu kesatuan dalam kehi</v>
          </cell>
        </row>
        <row r="9">
          <cell r="B9">
            <v>6</v>
          </cell>
          <cell r="C9" t="str">
            <v>Hafidz Langgeng Prasetyo</v>
          </cell>
          <cell r="D9">
            <v>83.333333333333329</v>
          </cell>
          <cell r="E9" t="str">
            <v>B</v>
          </cell>
          <cell r="F9" t="str">
            <v>Ananda Hafidz Langgeng Prasetyo baik dalam menceritakan makna hubungan simbol dengan sila-sila Pancasila sebagai satu kesatuan dalam kehidupan sehari-hari.  Baik dalam menceritakan makna hubungan simbol dengan sila-sila Pancasila sebagai satu kesatuan dal</v>
          </cell>
        </row>
        <row r="10">
          <cell r="B10">
            <v>7</v>
          </cell>
          <cell r="C10" t="str">
            <v>JALU ARTHA AJI MANGGALA HANDOKO</v>
          </cell>
          <cell r="D10">
            <v>83.333333333333329</v>
          </cell>
          <cell r="E10" t="str">
            <v>B</v>
          </cell>
          <cell r="F10" t="str">
            <v>Ananda Jalu Artha Aji Manggala Handoko baik dalam menceritakan makna hubungan simbol dengan sila-sila Pancasila sebagai satu kesatuan dalam kehidupan sehari-hari.  Baik dalam menceritakan makna hubungan simbol dengan sila-sila Pancasila sebagai satu kesat</v>
          </cell>
        </row>
        <row r="11">
          <cell r="B11">
            <v>8</v>
          </cell>
          <cell r="C11" t="str">
            <v>LAURENDHO RADIEFCA MURDIONO</v>
          </cell>
          <cell r="D11">
            <v>83.333333333333329</v>
          </cell>
          <cell r="E11" t="str">
            <v>B</v>
          </cell>
          <cell r="F11"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12">
          <cell r="B12">
            <v>9</v>
          </cell>
          <cell r="C12" t="str">
            <v>MARSYA MAYDINA DWI RISQITA</v>
          </cell>
          <cell r="D12">
            <v>83.333333333333329</v>
          </cell>
          <cell r="E12" t="str">
            <v>B</v>
          </cell>
          <cell r="F12" t="str">
            <v>Ananda Marsya Maydina Dwi Risqita baik dalam menceritakan makna hubungan simbol dengan sila-sila Pancasila sebagai satu kesatuan dalam kehidupan sehari-hari.  Baik dalam menceritakan makna hubungan simbol dengan sila-sila Pancasila sebagai satu kesatuan d</v>
          </cell>
        </row>
        <row r="13">
          <cell r="B13">
            <v>10</v>
          </cell>
          <cell r="C13" t="str">
            <v>MILA SARASWATI</v>
          </cell>
          <cell r="D13">
            <v>83.333333333333329</v>
          </cell>
          <cell r="E13" t="str">
            <v>B</v>
          </cell>
          <cell r="F13" t="str">
            <v>Ananda Mila Saraswati baik dalam menceritakan makna hubungan simbol dengan sila-sila Pancasila sebagai satu kesatuan dalam kehidupan sehari-hari.  Baik dalam menceritakan makna hubungan simbol dengan sila-sila Pancasila sebagai satu kesatuan dalam kehidup</v>
          </cell>
        </row>
        <row r="14">
          <cell r="B14">
            <v>11</v>
          </cell>
          <cell r="C14" t="str">
            <v>MUHAMMAD ARKAN ALLY RACHMAD</v>
          </cell>
          <cell r="D14">
            <v>83.333333333333329</v>
          </cell>
          <cell r="E14" t="str">
            <v>B</v>
          </cell>
          <cell r="F14"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15">
          <cell r="B15">
            <v>12</v>
          </cell>
          <cell r="C15" t="str">
            <v>MUHAMMAD REVIAN ABDULLOH FAQIH</v>
          </cell>
          <cell r="D15">
            <v>83.333333333333329</v>
          </cell>
          <cell r="E15" t="str">
            <v>B</v>
          </cell>
          <cell r="F15" t="str">
            <v>Ananda Muhammad Revian Abdulloh Faqih baik dalam menceritakan makna hubungan simbol dengan sila-sila Pancasila sebagai satu kesatuan dalam kehidupan sehari-hari.  Baik dalam menceritakan makna hubungan simbol dengan sila-sila Pancasila sebagai satu kesatu</v>
          </cell>
        </row>
        <row r="16">
          <cell r="B16">
            <v>13</v>
          </cell>
          <cell r="C16" t="str">
            <v>NABILA AYUNINGTIAS</v>
          </cell>
          <cell r="D16">
            <v>83.333333333333329</v>
          </cell>
          <cell r="E16" t="str">
            <v>B</v>
          </cell>
          <cell r="F16" t="str">
            <v>Ananda Nabila Ayuningtias baik dalam menceritakan makna hubungan simbol dengan sila-sila Pancasila sebagai satu kesatuan dalam kehidupan sehari-hari.  Baik dalam menceritakan makna hubungan simbol dengan sila-sila Pancasila sebagai satu kesatuan dalam keh</v>
          </cell>
        </row>
        <row r="17">
          <cell r="B17">
            <v>14</v>
          </cell>
          <cell r="C17" t="str">
            <v>NARESWARI MASAYU PUSPANINGRUM</v>
          </cell>
          <cell r="D17">
            <v>83.333333333333329</v>
          </cell>
          <cell r="E17" t="str">
            <v>B</v>
          </cell>
          <cell r="F17" t="str">
            <v>Ananda Nareswari Masayu Puspaningrum baik dalam menceritakan makna hubungan simbol dengan sila-sila Pancasila sebagai satu kesatuan dalam kehidupan sehari-hari.  Baik dalam menceritakan makna hubungan simbol dengan sila-sila Pancasila sebagai satu kesatua</v>
          </cell>
        </row>
        <row r="18">
          <cell r="B18">
            <v>15</v>
          </cell>
          <cell r="C18" t="str">
            <v>NOVA SASMYTA</v>
          </cell>
          <cell r="D18">
            <v>83.333333333333329</v>
          </cell>
          <cell r="E18" t="str">
            <v>B</v>
          </cell>
          <cell r="F18" t="str">
            <v>Ananda Nova Sasmyta baik dalam menceritakan makna hubungan simbol dengan sila-sila Pancasila sebagai satu kesatuan dalam kehidupan sehari-hari.  Baik dalam menceritakan makna hubungan simbol dengan sila-sila Pancasila sebagai satu kesatuan dalam kehidupan</v>
          </cell>
        </row>
        <row r="19">
          <cell r="B19">
            <v>16</v>
          </cell>
          <cell r="C19" t="str">
            <v>RIDHA RAHMATUL AULA RIDWAN</v>
          </cell>
          <cell r="D19">
            <v>83.333333333333329</v>
          </cell>
          <cell r="E19" t="str">
            <v>B</v>
          </cell>
          <cell r="F19" t="str">
            <v>Ananda Ridha Rahmatul Aula Ridwan baik dalam menceritakan makna hubungan simbol dengan sila-sila Pancasila sebagai satu kesatuan dalam kehidupan sehari-hari.  Baik dalam menceritakan makna hubungan simbol dengan sila-sila Pancasila sebagai satu kesatuan d</v>
          </cell>
        </row>
        <row r="20">
          <cell r="B20">
            <v>17</v>
          </cell>
          <cell r="C20" t="str">
            <v>RIFDA SALSABILA PURNAMA</v>
          </cell>
          <cell r="D20">
            <v>83.333333333333329</v>
          </cell>
          <cell r="E20" t="str">
            <v>B</v>
          </cell>
          <cell r="F20" t="str">
            <v>Ananda Rifda Salsabila Purnama baik dalam menceritakan makna hubungan simbol dengan sila-sila Pancasila sebagai satu kesatuan dalam kehidupan sehari-hari.  Baik dalam menceritakan makna hubungan simbol dengan sila-sila Pancasila sebagai satu kesatuan dala</v>
          </cell>
        </row>
        <row r="21">
          <cell r="B21">
            <v>18</v>
          </cell>
          <cell r="C21" t="str">
            <v>RIZKI INTAN KURNIAENDAH</v>
          </cell>
          <cell r="D21">
            <v>83.333333333333329</v>
          </cell>
          <cell r="E21" t="str">
            <v>B</v>
          </cell>
          <cell r="F21" t="str">
            <v>Ananda Rizki Intan Kurniaendah baik dalam menceritakan makna hubungan simbol dengan sila-sila Pancasila sebagai satu kesatuan dalam kehidupan sehari-hari.  Baik dalam menceritakan makna hubungan simbol dengan sila-sila Pancasila sebagai satu kesatuan dala</v>
          </cell>
        </row>
        <row r="22">
          <cell r="B22">
            <v>19</v>
          </cell>
          <cell r="C22" t="str">
            <v>RIZKY FIRMANSYAH</v>
          </cell>
          <cell r="D22">
            <v>83.333333333333329</v>
          </cell>
          <cell r="E22" t="str">
            <v>B</v>
          </cell>
          <cell r="F22" t="str">
            <v>Ananda Rizky Firmansyah baik dalam menceritakan makna hubungan simbol dengan sila-sila Pancasila sebagai satu kesatuan dalam kehidupan sehari-hari.  Baik dalam menceritakan makna hubungan simbol dengan sila-sila Pancasila sebagai satu kesatuan dalam kehid</v>
          </cell>
        </row>
        <row r="23">
          <cell r="B23">
            <v>20</v>
          </cell>
          <cell r="C23" t="str">
            <v>SAFIRA NUR LAYLA RAMADHANI</v>
          </cell>
          <cell r="D23">
            <v>83.333333333333329</v>
          </cell>
          <cell r="E23" t="str">
            <v>B</v>
          </cell>
          <cell r="F23" t="str">
            <v>Ananda Safira Nur Layla Ramadhani baik dalam menceritakan makna hubungan simbol dengan sila-sila Pancasila sebagai satu kesatuan dalam kehidupan sehari-hari.  Baik dalam menceritakan makna hubungan simbol dengan sila-sila Pancasila sebagai satu kesatuan d</v>
          </cell>
        </row>
        <row r="24">
          <cell r="B24">
            <v>21</v>
          </cell>
          <cell r="C24" t="str">
            <v>SHANASTRI RUFAIDA</v>
          </cell>
          <cell r="D24">
            <v>83.333333333333329</v>
          </cell>
          <cell r="E24" t="str">
            <v>B</v>
          </cell>
          <cell r="F24" t="str">
            <v>Ananda Shanastri Rufaida baik dalam menceritakan makna hubungan simbol dengan sila-sila Pancasila sebagai satu kesatuan dalam kehidupan sehari-hari.  Baik dalam menceritakan makna hubungan simbol dengan sila-sila Pancasila sebagai satu kesatuan dalam kehi</v>
          </cell>
        </row>
        <row r="25">
          <cell r="B25">
            <v>22</v>
          </cell>
          <cell r="C25" t="str">
            <v>SHIAM SAHARA</v>
          </cell>
          <cell r="D25">
            <v>83.333333333333329</v>
          </cell>
          <cell r="E25" t="str">
            <v>B</v>
          </cell>
          <cell r="F25" t="str">
            <v>Ananda Shiam Sahara baik dalam menceritakan makna hubungan simbol dengan sila-sila Pancasila sebagai satu kesatuan dalam kehidupan sehari-hari.  Baik dalam menceritakan makna hubungan simbol dengan sila-sila Pancasila sebagai satu kesatuan dalam kehidupan</v>
          </cell>
        </row>
        <row r="26">
          <cell r="B26">
            <v>23</v>
          </cell>
          <cell r="C26" t="str">
            <v>SUSAN APRILIA PUTRI</v>
          </cell>
          <cell r="D26">
            <v>83.333333333333329</v>
          </cell>
          <cell r="E26" t="str">
            <v>B</v>
          </cell>
          <cell r="F26" t="str">
            <v>Ananda Susan Aprilia Putri baik dalam menceritakan makna hubungan simbol dengan sila-sila Pancasila sebagai satu kesatuan dalam kehidupan sehari-hari.  Baik dalam menceritakan makna hubungan simbol dengan sila-sila Pancasila sebagai satu kesatuan dalam ke</v>
          </cell>
        </row>
        <row r="27">
          <cell r="B27">
            <v>24</v>
          </cell>
          <cell r="C27" t="str">
            <v>SYIFAUL CHUSNA BANATU ROHMI HADI</v>
          </cell>
          <cell r="D27">
            <v>83.333333333333329</v>
          </cell>
          <cell r="E27" t="str">
            <v>B</v>
          </cell>
          <cell r="F27" t="str">
            <v>Ananda Syifaul Chusna Banatu Rohmi Hadi baik dalam menceritakan makna hubungan simbol dengan sila-sila Pancasila sebagai satu kesatuan dalam kehidupan sehari-hari.  Baik dalam menceritakan makna hubungan simbol dengan sila-sila Pancasila sebagai satu kesa</v>
          </cell>
        </row>
        <row r="28">
          <cell r="B28">
            <v>25</v>
          </cell>
          <cell r="C28" t="str">
            <v>VANESSA VICKY AYU LESTARI</v>
          </cell>
          <cell r="D28">
            <v>83.333333333333329</v>
          </cell>
          <cell r="E28" t="str">
            <v>B</v>
          </cell>
          <cell r="F28" t="str">
            <v>Ananda Vanessa Vicky Ayu Lestari baik dalam menceritakan makna hubungan simbol dengan sila-sila Pancasila sebagai satu kesatuan dalam kehidupan sehari-hari.  Baik dalam menceritakan makna hubungan simbol dengan sila-sila Pancasila sebagai satu kesatuan da</v>
          </cell>
        </row>
        <row r="29">
          <cell r="B29">
            <v>26</v>
          </cell>
          <cell r="C29" t="str">
            <v>WIBI NUR FIRMANSYAH</v>
          </cell>
          <cell r="D29">
            <v>83.333333333333329</v>
          </cell>
          <cell r="E29" t="str">
            <v>B</v>
          </cell>
          <cell r="F29" t="str">
            <v>Ananda Wibi Nur Firmansyah baik dalam menceritakan makna hubungan simbol dengan sila-sila Pancasila sebagai satu kesatuan dalam kehidupan sehari-hari.  Baik dalam menceritakan makna hubungan simbol dengan sila-sila Pancasila sebagai satu kesatuan dalam ke</v>
          </cell>
        </row>
        <row r="30">
          <cell r="B30">
            <v>27</v>
          </cell>
          <cell r="C30" t="str">
            <v>ZULFIDA NURUL MAZIDAH</v>
          </cell>
          <cell r="D30">
            <v>83.333333333333329</v>
          </cell>
          <cell r="E30" t="str">
            <v>B</v>
          </cell>
          <cell r="F30" t="str">
            <v xml:space="preserve">Ananda Zulfida Nurul Mazidah baik dalam menceritakan makna hubungan simbol dengan sila-sila Pancasila sebagai satu kesatuan dalam kehidupan sehari-hari.  Baik dalam menceritakan makna hubungan simbol dengan sila-sila Pancasila sebagai satu kesatuan dalam </v>
          </cell>
        </row>
        <row r="31">
          <cell r="B31">
            <v>28</v>
          </cell>
          <cell r="C31" t="str">
            <v>AZKA AFINA KHOIRUL IZA</v>
          </cell>
          <cell r="D31">
            <v>83.333333333333329</v>
          </cell>
          <cell r="E31" t="str">
            <v>B</v>
          </cell>
          <cell r="F31" t="str">
            <v>Ananda Azka Afina Khoirul Iza baik dalam menceritakan makna hubungan simbol dengan sila-sila Pancasila sebagai satu kesatuan dalam kehidupan sehari-hari.  Baik dalam menceritakan makna hubungan simbol dengan sila-sila Pancasila sebagai satu kesatuan dalam</v>
          </cell>
        </row>
        <row r="32">
          <cell r="B32">
            <v>29</v>
          </cell>
          <cell r="C32" t="str">
            <v>BAGUS WIDA KANAKA</v>
          </cell>
          <cell r="D32">
            <v>83.333333333333329</v>
          </cell>
          <cell r="E32" t="str">
            <v>B</v>
          </cell>
          <cell r="F32" t="str">
            <v>Ananda Bagus Wida Kanaka baik dalam menceritakan makna hubungan simbol dengan sila-sila Pancasila sebagai satu kesatuan dalam kehidupan sehari-hari.  Baik dalam menceritakan makna hubungan simbol dengan sila-sila Pancasila sebagai satu kesatuan dalam kehi</v>
          </cell>
        </row>
        <row r="33">
          <cell r="B33">
            <v>30</v>
          </cell>
          <cell r="C33" t="str">
            <v>DENI FIRYA ATHALLAH PRADINAYA</v>
          </cell>
          <cell r="D33">
            <v>83.333333333333329</v>
          </cell>
          <cell r="E33" t="str">
            <v>B</v>
          </cell>
          <cell r="F33" t="str">
            <v>Ananda Deni Firya Athallah Pradinaya baik dalam menceritakan makna hubungan simbol dengan sila-sila Pancasila sebagai satu kesatuan dalam kehidupan sehari-hari.  Baik dalam menceritakan makna hubungan simbol dengan sila-sila Pancasila sebagai satu kesatua</v>
          </cell>
        </row>
        <row r="34">
          <cell r="B34">
            <v>31</v>
          </cell>
          <cell r="C34" t="str">
            <v>DEWI GALUH MULANSARI</v>
          </cell>
          <cell r="D34">
            <v>83.333333333333329</v>
          </cell>
          <cell r="E34" t="str">
            <v>B</v>
          </cell>
          <cell r="F34" t="str">
            <v>Ananda Dewi Galuh Mulansari baik dalam menceritakan makna hubungan simbol dengan sila-sila Pancasila sebagai satu kesatuan dalam kehidupan sehari-hari.  Baik dalam menceritakan makna hubungan simbol dengan sila-sila Pancasila sebagai satu kesatuan dalam k</v>
          </cell>
        </row>
        <row r="35">
          <cell r="B35">
            <v>32</v>
          </cell>
          <cell r="C35" t="str">
            <v>DIAN PUJI LESTARI</v>
          </cell>
          <cell r="D35">
            <v>83.333333333333329</v>
          </cell>
          <cell r="E35" t="str">
            <v>B</v>
          </cell>
          <cell r="F35" t="str">
            <v>Ananda Dian Puji Lestari baik dalam menceritakan makna hubungan simbol dengan sila-sila Pancasila sebagai satu kesatuan dalam kehidupan sehari-hari.  Baik dalam menceritakan makna hubungan simbol dengan sila-sila Pancasila sebagai satu kesatuan dalam kehi</v>
          </cell>
        </row>
        <row r="36">
          <cell r="B36">
            <v>33</v>
          </cell>
          <cell r="C36" t="str">
            <v>Hafidz Langgeng Prasetyo</v>
          </cell>
          <cell r="D36">
            <v>83.333333333333329</v>
          </cell>
          <cell r="E36" t="str">
            <v>B</v>
          </cell>
          <cell r="F36" t="str">
            <v>Ananda Hafidz Langgeng Prasetyo baik dalam menceritakan makna hubungan simbol dengan sila-sila Pancasila sebagai satu kesatuan dalam kehidupan sehari-hari.  Baik dalam menceritakan makna hubungan simbol dengan sila-sila Pancasila sebagai satu kesatuan dal</v>
          </cell>
        </row>
        <row r="37">
          <cell r="B37">
            <v>34</v>
          </cell>
          <cell r="C37" t="str">
            <v>JALU ARTHA AJI MANGGALA HANDOKO</v>
          </cell>
          <cell r="D37">
            <v>83.333333333333329</v>
          </cell>
          <cell r="E37" t="str">
            <v>B</v>
          </cell>
          <cell r="F37" t="str">
            <v>Ananda Jalu Artha Aji Manggala Handoko baik dalam menceritakan makna hubungan simbol dengan sila-sila Pancasila sebagai satu kesatuan dalam kehidupan sehari-hari.  Baik dalam menceritakan makna hubungan simbol dengan sila-sila Pancasila sebagai satu kesat</v>
          </cell>
        </row>
        <row r="38">
          <cell r="B38">
            <v>35</v>
          </cell>
          <cell r="C38" t="str">
            <v>LAURENDHO RADIEFCA MURDIONO</v>
          </cell>
          <cell r="D38">
            <v>83.333333333333329</v>
          </cell>
          <cell r="E38" t="str">
            <v>B</v>
          </cell>
          <cell r="F38"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39">
          <cell r="B39">
            <v>36</v>
          </cell>
          <cell r="C39" t="str">
            <v>MARSYA MAYDINA DWI RISQITA</v>
          </cell>
          <cell r="D39">
            <v>83.333333333333329</v>
          </cell>
          <cell r="E39" t="str">
            <v>B</v>
          </cell>
          <cell r="F39" t="str">
            <v>Ananda Marsya Maydina Dwi Risqita baik dalam menceritakan makna hubungan simbol dengan sila-sila Pancasila sebagai satu kesatuan dalam kehidupan sehari-hari.  Baik dalam menceritakan makna hubungan simbol dengan sila-sila Pancasila sebagai satu kesatuan d</v>
          </cell>
        </row>
        <row r="40">
          <cell r="B40">
            <v>37</v>
          </cell>
          <cell r="C40" t="str">
            <v>MILA SARASWATI</v>
          </cell>
          <cell r="D40">
            <v>83.333333333333329</v>
          </cell>
          <cell r="E40" t="str">
            <v>B</v>
          </cell>
          <cell r="F40" t="str">
            <v>Ananda Mila Saraswati baik dalam menceritakan makna hubungan simbol dengan sila-sila Pancasila sebagai satu kesatuan dalam kehidupan sehari-hari.  Baik dalam menceritakan makna hubungan simbol dengan sila-sila Pancasila sebagai satu kesatuan dalam kehidup</v>
          </cell>
        </row>
        <row r="41">
          <cell r="B41">
            <v>38</v>
          </cell>
          <cell r="C41" t="str">
            <v>MUHAMMAD ARKAN ALLY RACHMAD</v>
          </cell>
          <cell r="D41">
            <v>83.333333333333329</v>
          </cell>
          <cell r="E41" t="str">
            <v>B</v>
          </cell>
          <cell r="F41"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42">
          <cell r="B42">
            <v>39</v>
          </cell>
          <cell r="C42" t="str">
            <v>MUHAMMAD REVIAN ABDULLOH FAQIH</v>
          </cell>
          <cell r="D42">
            <v>83.333333333333329</v>
          </cell>
          <cell r="E42" t="str">
            <v>B</v>
          </cell>
          <cell r="F42" t="str">
            <v>Ananda Muhammad Revian Abdulloh Faqih baik dalam menceritakan makna hubungan simbol dengan sila-sila Pancasila sebagai satu kesatuan dalam kehidupan sehari-hari.  Baik dalam menceritakan makna hubungan simbol dengan sila-sila Pancasila sebagai satu kesatu</v>
          </cell>
        </row>
        <row r="43">
          <cell r="B43">
            <v>40</v>
          </cell>
          <cell r="C43" t="str">
            <v>NABILA AYUNINGTIAS</v>
          </cell>
          <cell r="D43">
            <v>83.333333333333329</v>
          </cell>
          <cell r="E43" t="str">
            <v>B</v>
          </cell>
          <cell r="F43" t="str">
            <v>Ananda Nabila Ayuningtias baik dalam menceritakan makna hubungan simbol dengan sila-sila Pancasila sebagai satu kesatuan dalam kehidupan sehari-hari.  Baik dalam menceritakan makna hubungan simbol dengan sila-sila Pancasila sebagai satu kesatuan dalam keh</v>
          </cell>
        </row>
        <row r="44">
          <cell r="B44">
            <v>41</v>
          </cell>
          <cell r="C44" t="str">
            <v>NARESWARI MASAYU PUSPANINGRUM</v>
          </cell>
          <cell r="D44">
            <v>83.333333333333329</v>
          </cell>
          <cell r="E44" t="str">
            <v>B</v>
          </cell>
          <cell r="F44" t="str">
            <v>Ananda Nareswari Masayu Puspaningrum baik dalam menceritakan makna hubungan simbol dengan sila-sila Pancasila sebagai satu kesatuan dalam kehidupan sehari-hari.  Baik dalam menceritakan makna hubungan simbol dengan sila-sila Pancasila sebagai satu kesatua</v>
          </cell>
        </row>
        <row r="45">
          <cell r="B45">
            <v>42</v>
          </cell>
          <cell r="C45" t="str">
            <v>NOVA SASMYTA</v>
          </cell>
          <cell r="D45">
            <v>83.333333333333329</v>
          </cell>
          <cell r="E45" t="str">
            <v>B</v>
          </cell>
          <cell r="F45" t="str">
            <v>Ananda Nova Sasmyta baik dalam menceritakan makna hubungan simbol dengan sila-sila Pancasila sebagai satu kesatuan dalam kehidupan sehari-hari.  Baik dalam menceritakan makna hubungan simbol dengan sila-sila Pancasila sebagai satu kesatuan dalam kehidupan</v>
          </cell>
        </row>
        <row r="46">
          <cell r="B46">
            <v>43</v>
          </cell>
          <cell r="C46" t="str">
            <v>RIDHA RAHMATUL AULA RIDWAN</v>
          </cell>
          <cell r="D46">
            <v>83.333333333333329</v>
          </cell>
          <cell r="E46" t="str">
            <v>B</v>
          </cell>
          <cell r="F46" t="str">
            <v>Ananda Ridha Rahmatul Aula Ridwan baik dalam menceritakan makna hubungan simbol dengan sila-sila Pancasila sebagai satu kesatuan dalam kehidupan sehari-hari.  Baik dalam menceritakan makna hubungan simbol dengan sila-sila Pancasila sebagai satu kesatuan d</v>
          </cell>
        </row>
        <row r="47">
          <cell r="B47">
            <v>44</v>
          </cell>
          <cell r="C47" t="str">
            <v>RIFDA SALSABILA PURNAMA</v>
          </cell>
          <cell r="D47">
            <v>83.333333333333329</v>
          </cell>
          <cell r="E47" t="str">
            <v>B</v>
          </cell>
          <cell r="F47" t="str">
            <v>Ananda Rifda Salsabila Purnama baik dalam menceritakan makna hubungan simbol dengan sila-sila Pancasila sebagai satu kesatuan dalam kehidupan sehari-hari.  Baik dalam menceritakan makna hubungan simbol dengan sila-sila Pancasila sebagai satu kesatuan dala</v>
          </cell>
        </row>
        <row r="48">
          <cell r="B48">
            <v>45</v>
          </cell>
          <cell r="C48" t="str">
            <v>RIZKI INTAN KURNIAENDAH</v>
          </cell>
          <cell r="D48">
            <v>83.333333333333329</v>
          </cell>
          <cell r="E48" t="str">
            <v>B</v>
          </cell>
          <cell r="F48" t="str">
            <v>Ananda Rizki Intan Kurniaendah baik dalam menceritakan makna hubungan simbol dengan sila-sila Pancasila sebagai satu kesatuan dalam kehidupan sehari-hari.  Baik dalam menceritakan makna hubungan simbol dengan sila-sila Pancasila sebagai satu kesatuan dala</v>
          </cell>
        </row>
        <row r="49">
          <cell r="B49">
            <v>46</v>
          </cell>
          <cell r="C49" t="str">
            <v>RIZKY FIRMANSYAH</v>
          </cell>
          <cell r="D49">
            <v>83.333333333333329</v>
          </cell>
          <cell r="E49" t="str">
            <v>B</v>
          </cell>
          <cell r="F49" t="str">
            <v>Ananda Rizky Firmansyah baik dalam menceritakan makna hubungan simbol dengan sila-sila Pancasila sebagai satu kesatuan dalam kehidupan sehari-hari.  Baik dalam menceritakan makna hubungan simbol dengan sila-sila Pancasila sebagai satu kesatuan dalam kehid</v>
          </cell>
        </row>
        <row r="50">
          <cell r="B50">
            <v>47</v>
          </cell>
          <cell r="C50" t="str">
            <v>SAFIRA NUR LAYLA RAMADHANI</v>
          </cell>
          <cell r="D50">
            <v>83.333333333333329</v>
          </cell>
          <cell r="E50" t="str">
            <v>B</v>
          </cell>
          <cell r="F50" t="str">
            <v>Ananda Safira Nur Layla Ramadhani baik dalam menceritakan makna hubungan simbol dengan sila-sila Pancasila sebagai satu kesatuan dalam kehidupan sehari-hari.  Baik dalam menceritakan makna hubungan simbol dengan sila-sila Pancasila sebagai satu kesatuan d</v>
          </cell>
        </row>
        <row r="51">
          <cell r="B51">
            <v>48</v>
          </cell>
          <cell r="C51" t="str">
            <v>SHANASTRI RUFAIDA</v>
          </cell>
          <cell r="D51">
            <v>83.333333333333329</v>
          </cell>
          <cell r="E51" t="str">
            <v>B</v>
          </cell>
          <cell r="F51" t="str">
            <v>Ananda Shanastri Rufaida baik dalam menceritakan makna hubungan simbol dengan sila-sila Pancasila sebagai satu kesatuan dalam kehidupan sehari-hari.  Baik dalam menceritakan makna hubungan simbol dengan sila-sila Pancasila sebagai satu kesatuan dalam kehi</v>
          </cell>
        </row>
        <row r="52">
          <cell r="B52">
            <v>49</v>
          </cell>
          <cell r="C52" t="str">
            <v>SHIAM SAHARA</v>
          </cell>
          <cell r="D52">
            <v>83.333333333333329</v>
          </cell>
          <cell r="E52" t="str">
            <v>B</v>
          </cell>
          <cell r="F52" t="str">
            <v>Ananda Shiam Sahara baik dalam menceritakan makna hubungan simbol dengan sila-sila Pancasila sebagai satu kesatuan dalam kehidupan sehari-hari.  Baik dalam menceritakan makna hubungan simbol dengan sila-sila Pancasila sebagai satu kesatuan dalam kehidupan</v>
          </cell>
        </row>
        <row r="53">
          <cell r="B53">
            <v>50</v>
          </cell>
          <cell r="C53" t="str">
            <v>SUSAN APRILIA PUTRI</v>
          </cell>
          <cell r="D53">
            <v>83.333333333333329</v>
          </cell>
          <cell r="E53" t="str">
            <v>B</v>
          </cell>
          <cell r="F53" t="str">
            <v>Ananda Susan Aprilia Putri baik dalam menceritakan makna hubungan simbol dengan sila-sila Pancasila sebagai satu kesatuan dalam kehidupan sehari-hari.  Baik dalam menceritakan makna hubungan simbol dengan sila-sila Pancasila sebagai satu kesatuan dalam ke</v>
          </cell>
        </row>
      </sheetData>
      <sheetData sheetId="44"/>
      <sheetData sheetId="45">
        <row r="4">
          <cell r="B4">
            <v>1</v>
          </cell>
          <cell r="C4" t="str">
            <v>AZKA AFINA KHOIRUL IZA</v>
          </cell>
          <cell r="D4">
            <v>78.8</v>
          </cell>
          <cell r="E4" t="str">
            <v>C</v>
          </cell>
          <cell r="F4" t="str">
            <v>Ananda Azka Afina Khoirul Iza baik dalam Mempraktikkan variasi gerak dasar lokomotor, non-lokomotor, dan manipulatif sesuai dengan konsep tubuh, ruang, usaha, dan keterhubungan dalam permainan bola besar sederhana dan atau tradisional*.  Cukup dalam Mempr</v>
          </cell>
        </row>
        <row r="5">
          <cell r="B5">
            <v>2</v>
          </cell>
          <cell r="C5" t="str">
            <v>BAGUS WIDA KANAKA</v>
          </cell>
          <cell r="D5">
            <v>78.8</v>
          </cell>
          <cell r="E5" t="str">
            <v>C</v>
          </cell>
          <cell r="F5" t="str">
            <v>Ananda Bagus Wida Kanaka baik dalam Mempraktikkan variasi gerak dasar lokomotor, non-lokomotor, dan manipulatif sesuai dengan konsep tubuh, ruang, usaha, dan keterhubungan dalam permainan bola besar sederhana dan atau tradisional*.  Cukup dalam Mempraktik</v>
          </cell>
        </row>
        <row r="6">
          <cell r="B6">
            <v>3</v>
          </cell>
          <cell r="C6" t="str">
            <v>DENI FIRYA ATHALLAH PRADINAYA</v>
          </cell>
          <cell r="D6">
            <v>78.8</v>
          </cell>
          <cell r="E6" t="str">
            <v>C</v>
          </cell>
          <cell r="F6" t="str">
            <v>Ananda Deni Firya Athallah Pradinaya baik dalam Mempraktikkan variasi gerak dasar lokomotor, non-lokomotor, dan manipulatif sesuai dengan konsep tubuh, ruang, usaha, dan keterhubungan dalam permainan bola besar sederhana dan atau tradisional*.  Cukup dala</v>
          </cell>
        </row>
        <row r="7">
          <cell r="B7">
            <v>4</v>
          </cell>
          <cell r="C7" t="str">
            <v>DEWI GALUH MULANSARI</v>
          </cell>
          <cell r="D7">
            <v>78.8</v>
          </cell>
          <cell r="E7" t="str">
            <v>C</v>
          </cell>
          <cell r="F7" t="str">
            <v>Ananda Dewi Galuh Mulansari baik dalam Mempraktikkan variasi gerak dasar lokomotor, non-lokomotor, dan manipulatif sesuai dengan konsep tubuh, ruang, usaha, dan keterhubungan dalam permainan bola besar sederhana dan atau tradisional*.  Cukup dalam Memprak</v>
          </cell>
        </row>
        <row r="8">
          <cell r="B8">
            <v>5</v>
          </cell>
          <cell r="C8" t="str">
            <v>DIAN PUJI LESTARI</v>
          </cell>
          <cell r="D8">
            <v>78.8</v>
          </cell>
          <cell r="E8" t="str">
            <v>C</v>
          </cell>
          <cell r="F8" t="str">
            <v>Ananda Dian Puji Lestari baik dalam Mempraktikkan variasi gerak dasar lokomotor, non-lokomotor, dan manipulatif sesuai dengan konsep tubuh, ruang, usaha, dan keterhubungan dalam permainan bola besar sederhana dan atau tradisional*.  Cukup dalam Mempraktik</v>
          </cell>
        </row>
        <row r="9">
          <cell r="B9">
            <v>6</v>
          </cell>
          <cell r="C9" t="str">
            <v>Hafidz Langgeng Prasetyo</v>
          </cell>
          <cell r="D9">
            <v>78.8</v>
          </cell>
          <cell r="E9" t="str">
            <v>C</v>
          </cell>
          <cell r="F9" t="str">
            <v>Ananda Hafidz Langgeng Prasetyo baik dalam Mempraktikkan variasi gerak dasar lokomotor, non-lokomotor, dan manipulatif sesuai dengan konsep tubuh, ruang, usaha, dan keterhubungan dalam permainan bola besar sederhana dan atau tradisional*.  Cukup dalam Mem</v>
          </cell>
        </row>
        <row r="10">
          <cell r="B10">
            <v>7</v>
          </cell>
          <cell r="C10" t="str">
            <v>JALU ARTHA AJI MANGGALA HANDOKO</v>
          </cell>
          <cell r="D10">
            <v>78.8</v>
          </cell>
          <cell r="E10" t="str">
            <v>C</v>
          </cell>
          <cell r="F10" t="str">
            <v>Ananda Jalu Artha Aji Manggala Handoko baik dalam Mempraktikkan variasi gerak dasar lokomotor, non-lokomotor, dan manipulatif sesuai dengan konsep tubuh, ruang, usaha, dan keterhubungan dalam permainan bola besar sederhana dan atau tradisional*.  Cukup da</v>
          </cell>
        </row>
        <row r="11">
          <cell r="B11">
            <v>8</v>
          </cell>
          <cell r="C11" t="str">
            <v>LAURENDHO RADIEFCA MURDIONO</v>
          </cell>
          <cell r="D11">
            <v>78.8</v>
          </cell>
          <cell r="E11" t="str">
            <v>C</v>
          </cell>
          <cell r="F11"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12">
          <cell r="B12">
            <v>9</v>
          </cell>
          <cell r="C12" t="str">
            <v>MARSYA MAYDINA DWI RISQITA</v>
          </cell>
          <cell r="D12">
            <v>78.8</v>
          </cell>
          <cell r="E12" t="str">
            <v>C</v>
          </cell>
          <cell r="F12" t="str">
            <v>Ananda Marsya Maydina Dwi Risqita baik dalam Mempraktikkan variasi gerak dasar lokomotor, non-lokomotor, dan manipulatif sesuai dengan konsep tubuh, ruang, usaha, dan keterhubungan dalam permainan bola besar sederhana dan atau tradisional*.  Cukup dalam M</v>
          </cell>
        </row>
        <row r="13">
          <cell r="B13">
            <v>10</v>
          </cell>
          <cell r="C13" t="str">
            <v>MILA SARASWATI</v>
          </cell>
          <cell r="D13">
            <v>78.8</v>
          </cell>
          <cell r="E13" t="str">
            <v>C</v>
          </cell>
          <cell r="F13" t="str">
            <v>Ananda Mila Saraswati baik dalam Mempraktikkan variasi gerak dasar lokomotor, non-lokomotor, dan manipulatif sesuai dengan konsep tubuh, ruang, usaha, dan keterhubungan dalam permainan bola besar sederhana dan atau tradisional*.  Cukup dalam Mempraktikkan</v>
          </cell>
        </row>
        <row r="14">
          <cell r="B14">
            <v>11</v>
          </cell>
          <cell r="C14" t="str">
            <v>MUHAMMAD ARKAN ALLY RACHMAD</v>
          </cell>
          <cell r="D14">
            <v>78.8</v>
          </cell>
          <cell r="E14" t="str">
            <v>C</v>
          </cell>
          <cell r="F14"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15">
          <cell r="B15">
            <v>12</v>
          </cell>
          <cell r="C15" t="str">
            <v>MUHAMMAD REVIAN ABDULLOH FAQIH</v>
          </cell>
          <cell r="D15">
            <v>78.8</v>
          </cell>
          <cell r="E15" t="str">
            <v>C</v>
          </cell>
          <cell r="F15" t="str">
            <v>Ananda Muhammad Revian Abdulloh Faqih baik dalam Mempraktikkan variasi gerak dasar lokomotor, non-lokomotor, dan manipulatif sesuai dengan konsep tubuh, ruang, usaha, dan keterhubungan dalam permainan bola besar sederhana dan atau tradisional*.  Cukup dal</v>
          </cell>
        </row>
        <row r="16">
          <cell r="B16">
            <v>13</v>
          </cell>
          <cell r="C16" t="str">
            <v>NABILA AYUNINGTIAS</v>
          </cell>
          <cell r="D16">
            <v>78.8</v>
          </cell>
          <cell r="E16" t="str">
            <v>C</v>
          </cell>
          <cell r="F16" t="str">
            <v>Ananda Nabila Ayuningtias baik dalam Mempraktikkan variasi gerak dasar lokomotor, non-lokomotor, dan manipulatif sesuai dengan konsep tubuh, ruang, usaha, dan keterhubungan dalam permainan bola besar sederhana dan atau tradisional*.  Cukup dalam Memprakti</v>
          </cell>
        </row>
        <row r="17">
          <cell r="B17">
            <v>14</v>
          </cell>
          <cell r="C17" t="str">
            <v>NARESWARI MASAYU PUSPANINGRUM</v>
          </cell>
          <cell r="D17">
            <v>78.8</v>
          </cell>
          <cell r="E17" t="str">
            <v>C</v>
          </cell>
          <cell r="F17" t="str">
            <v>Ananda Nareswari Masayu Puspaningrum baik dalam Mempraktikkan variasi gerak dasar lokomotor, non-lokomotor, dan manipulatif sesuai dengan konsep tubuh, ruang, usaha, dan keterhubungan dalam permainan bola besar sederhana dan atau tradisional*.  Cukup dala</v>
          </cell>
        </row>
        <row r="18">
          <cell r="B18">
            <v>15</v>
          </cell>
          <cell r="C18" t="str">
            <v>NOVA SASMYTA</v>
          </cell>
          <cell r="D18">
            <v>78.8</v>
          </cell>
          <cell r="E18" t="str">
            <v>C</v>
          </cell>
          <cell r="F18" t="str">
            <v>Ananda Nova Sasmyta baik dalam Mempraktikkan variasi gerak dasar lokomotor, non-lokomotor, dan manipulatif sesuai dengan konsep tubuh, ruang, usaha, dan keterhubungan dalam permainan bola besar sederhana dan atau tradisional*.  Cukup dalam Mempraktikkan v</v>
          </cell>
        </row>
        <row r="19">
          <cell r="B19">
            <v>16</v>
          </cell>
          <cell r="C19" t="str">
            <v>RIDHA RAHMATUL AULA RIDWAN</v>
          </cell>
          <cell r="D19">
            <v>78.8</v>
          </cell>
          <cell r="E19" t="str">
            <v>C</v>
          </cell>
          <cell r="F19" t="str">
            <v>Ananda Ridha Rahmatul Aula Ridwan baik dalam Mempraktikkan variasi gerak dasar lokomotor, non-lokomotor, dan manipulatif sesuai dengan konsep tubuh, ruang, usaha, dan keterhubungan dalam permainan bola besar sederhana dan atau tradisional*.  Cukup dalam M</v>
          </cell>
        </row>
        <row r="20">
          <cell r="B20">
            <v>17</v>
          </cell>
          <cell r="C20" t="str">
            <v>RIFDA SALSABILA PURNAMA</v>
          </cell>
          <cell r="D20">
            <v>78.8</v>
          </cell>
          <cell r="E20" t="str">
            <v>C</v>
          </cell>
          <cell r="F20" t="str">
            <v>Ananda Rifda Salsabila Purnama baik dalam Mempraktikkan variasi gerak dasar lokomotor, non-lokomotor, dan manipulatif sesuai dengan konsep tubuh, ruang, usaha, dan keterhubungan dalam permainan bola besar sederhana dan atau tradisional*.  Cukup dalam Memp</v>
          </cell>
        </row>
        <row r="21">
          <cell r="B21">
            <v>18</v>
          </cell>
          <cell r="C21" t="str">
            <v>RIZKI INTAN KURNIAENDAH</v>
          </cell>
          <cell r="D21">
            <v>78.8</v>
          </cell>
          <cell r="E21" t="str">
            <v>C</v>
          </cell>
          <cell r="F21" t="str">
            <v>Ananda Rizki Intan Kurniaendah baik dalam Mempraktikkan variasi gerak dasar lokomotor, non-lokomotor, dan manipulatif sesuai dengan konsep tubuh, ruang, usaha, dan keterhubungan dalam permainan bola besar sederhana dan atau tradisional*.  Cukup dalam Memp</v>
          </cell>
        </row>
        <row r="22">
          <cell r="B22">
            <v>19</v>
          </cell>
          <cell r="C22" t="str">
            <v>RIZKY FIRMANSYAH</v>
          </cell>
          <cell r="D22">
            <v>78.8</v>
          </cell>
          <cell r="E22" t="str">
            <v>C</v>
          </cell>
          <cell r="F22" t="str">
            <v>Ananda Rizky Firmansyah baik dalam Mempraktikkan variasi gerak dasar lokomotor, non-lokomotor, dan manipulatif sesuai dengan konsep tubuh, ruang, usaha, dan keterhubungan dalam permainan bola besar sederhana dan atau tradisional*.  Cukup dalam Mempraktikk</v>
          </cell>
        </row>
        <row r="23">
          <cell r="B23">
            <v>20</v>
          </cell>
          <cell r="C23" t="str">
            <v>SAFIRA NUR LAYLA RAMADHANI</v>
          </cell>
          <cell r="D23">
            <v>78.8</v>
          </cell>
          <cell r="E23" t="str">
            <v>C</v>
          </cell>
          <cell r="F23" t="str">
            <v>Ananda Safira Nur Layla Ramadhani baik dalam Mempraktikkan variasi gerak dasar lokomotor, non-lokomotor, dan manipulatif sesuai dengan konsep tubuh, ruang, usaha, dan keterhubungan dalam permainan bola besar sederhana dan atau tradisional*.  Cukup dalam M</v>
          </cell>
        </row>
        <row r="24">
          <cell r="B24">
            <v>21</v>
          </cell>
          <cell r="C24" t="str">
            <v>SHANASTRI RUFAIDA</v>
          </cell>
          <cell r="D24">
            <v>74</v>
          </cell>
          <cell r="E24" t="str">
            <v>C</v>
          </cell>
          <cell r="F24" t="str">
            <v>Ananda Shanastri Rufaida baik dalam Mempraktikkan variasi gerak dasar lokomotor, non-lokomotor, dan manipulatif sesuai dengan konsep tubuh, ruang, usaha, dan keterhubungan dalam permainan bola besar sederhana dan atau tradisional*.  Cukup dalam Mempraktik</v>
          </cell>
        </row>
        <row r="25">
          <cell r="B25">
            <v>22</v>
          </cell>
          <cell r="C25" t="str">
            <v>SHIAM SAHARA</v>
          </cell>
          <cell r="D25">
            <v>78.8</v>
          </cell>
          <cell r="E25" t="str">
            <v>C</v>
          </cell>
          <cell r="F25" t="str">
            <v>Ananda Shiam Sahara baik dalam Mempraktikkan variasi gerak dasar lokomotor, non-lokomotor, dan manipulatif sesuai dengan konsep tubuh, ruang, usaha, dan keterhubungan dalam permainan bola besar sederhana dan atau tradisional*.  Cukup dalam Mempraktikkan v</v>
          </cell>
        </row>
        <row r="26">
          <cell r="B26">
            <v>23</v>
          </cell>
          <cell r="C26" t="str">
            <v>SUSAN APRILIA PUTRI</v>
          </cell>
          <cell r="D26">
            <v>78.8</v>
          </cell>
          <cell r="E26" t="str">
            <v>C</v>
          </cell>
          <cell r="F26" t="str">
            <v>Ananda Susan Aprilia Putri baik dalam Mempraktikkan variasi gerak dasar lokomotor, non-lokomotor, dan manipulatif sesuai dengan konsep tubuh, ruang, usaha, dan keterhubungan dalam permainan bola besar sederhana dan atau tradisional*.  Cukup dalam Memprakt</v>
          </cell>
        </row>
        <row r="27">
          <cell r="B27">
            <v>24</v>
          </cell>
          <cell r="C27" t="str">
            <v>SYIFAUL CHUSNA BANATU ROHMI HADI</v>
          </cell>
          <cell r="D27">
            <v>78.8</v>
          </cell>
          <cell r="E27" t="str">
            <v>C</v>
          </cell>
          <cell r="F27" t="str">
            <v>Ananda Syifaul Chusna Banatu Rohmi Hadi baik dalam Mempraktikkan variasi gerak dasar lokomotor, non-lokomotor, dan manipulatif sesuai dengan konsep tubuh, ruang, usaha, dan keterhubungan dalam permainan bola besar sederhana dan atau tradisional*.  Cukup d</v>
          </cell>
        </row>
        <row r="28">
          <cell r="B28">
            <v>25</v>
          </cell>
          <cell r="C28" t="str">
            <v>VANESSA VICKY AYU LESTARI</v>
          </cell>
          <cell r="D28">
            <v>78.8</v>
          </cell>
          <cell r="E28" t="str">
            <v>C</v>
          </cell>
          <cell r="F28" t="str">
            <v>Ananda Vanessa Vicky Ayu Lestari baik dalam Mempraktikkan variasi gerak dasar lokomotor, non-lokomotor, dan manipulatif sesuai dengan konsep tubuh, ruang, usaha, dan keterhubungan dalam permainan bola besar sederhana dan atau tradisional*.  Cukup dalam Me</v>
          </cell>
        </row>
        <row r="29">
          <cell r="B29">
            <v>26</v>
          </cell>
          <cell r="C29" t="str">
            <v>WIBI NUR FIRMANSYAH</v>
          </cell>
          <cell r="D29">
            <v>78.8</v>
          </cell>
          <cell r="E29" t="str">
            <v>C</v>
          </cell>
          <cell r="F29" t="str">
            <v>Ananda Wibi Nur Firmansyah baik dalam Mempraktikkan variasi gerak dasar lokomotor, non-lokomotor, dan manipulatif sesuai dengan konsep tubuh, ruang, usaha, dan keterhubungan dalam permainan bola besar sederhana dan atau tradisional*.  Cukup dalam Memprakt</v>
          </cell>
        </row>
        <row r="30">
          <cell r="B30">
            <v>27</v>
          </cell>
          <cell r="C30" t="str">
            <v>ZULFIDA NURUL MAZIDAH</v>
          </cell>
          <cell r="D30">
            <v>78.8</v>
          </cell>
          <cell r="E30" t="str">
            <v>C</v>
          </cell>
          <cell r="F30" t="str">
            <v>Ananda Zulfida Nurul Mazidah baik dalam Mempraktikkan variasi gerak dasar lokomotor, non-lokomotor, dan manipulatif sesuai dengan konsep tubuh, ruang, usaha, dan keterhubungan dalam permainan bola besar sederhana dan atau tradisional*.  Cukup dalam Mempra</v>
          </cell>
        </row>
        <row r="31">
          <cell r="B31">
            <v>28</v>
          </cell>
          <cell r="C31" t="str">
            <v>AZKA AFINA KHOIRUL IZA</v>
          </cell>
          <cell r="D31">
            <v>78.8</v>
          </cell>
          <cell r="E31" t="str">
            <v>C</v>
          </cell>
          <cell r="F31" t="str">
            <v>Ananda Azka Afina Khoirul Iza baik dalam Mempraktikkan variasi gerak dasar lokomotor, non-lokomotor, dan manipulatif sesuai dengan konsep tubuh, ruang, usaha, dan keterhubungan dalam permainan bola besar sederhana dan atau tradisional*.  Cukup dalam Mempr</v>
          </cell>
        </row>
        <row r="32">
          <cell r="B32">
            <v>29</v>
          </cell>
          <cell r="C32" t="str">
            <v>BAGUS WIDA KANAKA</v>
          </cell>
          <cell r="D32">
            <v>78.8</v>
          </cell>
          <cell r="E32" t="str">
            <v>C</v>
          </cell>
          <cell r="F32" t="str">
            <v>Ananda Bagus Wida Kanaka baik dalam Mempraktikkan variasi gerak dasar lokomotor, non-lokomotor, dan manipulatif sesuai dengan konsep tubuh, ruang, usaha, dan keterhubungan dalam permainan bola besar sederhana dan atau tradisional*.  Cukup dalam Mempraktik</v>
          </cell>
        </row>
        <row r="33">
          <cell r="B33">
            <v>30</v>
          </cell>
          <cell r="C33" t="str">
            <v>DENI FIRYA ATHALLAH PRADINAYA</v>
          </cell>
          <cell r="D33">
            <v>78.8</v>
          </cell>
          <cell r="E33" t="str">
            <v>C</v>
          </cell>
          <cell r="F33" t="str">
            <v>Ananda Deni Firya Athallah Pradinaya baik dalam Mempraktikkan variasi gerak dasar lokomotor, non-lokomotor, dan manipulatif sesuai dengan konsep tubuh, ruang, usaha, dan keterhubungan dalam permainan bola besar sederhana dan atau tradisional*.  Cukup dala</v>
          </cell>
        </row>
        <row r="34">
          <cell r="B34">
            <v>31</v>
          </cell>
          <cell r="C34" t="str">
            <v>DEWI GALUH MULANSARI</v>
          </cell>
          <cell r="D34">
            <v>78.8</v>
          </cell>
          <cell r="E34" t="str">
            <v>C</v>
          </cell>
          <cell r="F34" t="str">
            <v>Ananda Dewi Galuh Mulansari baik dalam Mempraktikkan variasi gerak dasar lokomotor, non-lokomotor, dan manipulatif sesuai dengan konsep tubuh, ruang, usaha, dan keterhubungan dalam permainan bola besar sederhana dan atau tradisional*.  Cukup dalam Memprak</v>
          </cell>
        </row>
        <row r="35">
          <cell r="B35">
            <v>32</v>
          </cell>
          <cell r="C35" t="str">
            <v>DIAN PUJI LESTARI</v>
          </cell>
          <cell r="D35">
            <v>78.8</v>
          </cell>
          <cell r="E35" t="str">
            <v>C</v>
          </cell>
          <cell r="F35" t="str">
            <v>Ananda Dian Puji Lestari baik dalam Mempraktikkan variasi gerak dasar lokomotor, non-lokomotor, dan manipulatif sesuai dengan konsep tubuh, ruang, usaha, dan keterhubungan dalam permainan bola besar sederhana dan atau tradisional*.  Cukup dalam Mempraktik</v>
          </cell>
        </row>
        <row r="36">
          <cell r="B36">
            <v>33</v>
          </cell>
          <cell r="C36" t="str">
            <v>Hafidz Langgeng Prasetyo</v>
          </cell>
          <cell r="D36">
            <v>78.8</v>
          </cell>
          <cell r="E36" t="str">
            <v>C</v>
          </cell>
          <cell r="F36" t="str">
            <v>Ananda Hafidz Langgeng Prasetyo baik dalam Mempraktikkan variasi gerak dasar lokomotor, non-lokomotor, dan manipulatif sesuai dengan konsep tubuh, ruang, usaha, dan keterhubungan dalam permainan bola besar sederhana dan atau tradisional*.  Cukup dalam Mem</v>
          </cell>
        </row>
        <row r="37">
          <cell r="B37">
            <v>34</v>
          </cell>
          <cell r="C37" t="str">
            <v>JALU ARTHA AJI MANGGALA HANDOKO</v>
          </cell>
          <cell r="D37">
            <v>78.8</v>
          </cell>
          <cell r="E37" t="str">
            <v>C</v>
          </cell>
          <cell r="F37" t="str">
            <v>Ananda Jalu Artha Aji Manggala Handoko baik dalam Mempraktikkan variasi gerak dasar lokomotor, non-lokomotor, dan manipulatif sesuai dengan konsep tubuh, ruang, usaha, dan keterhubungan dalam permainan bola besar sederhana dan atau tradisional*.  Cukup da</v>
          </cell>
        </row>
        <row r="38">
          <cell r="B38">
            <v>35</v>
          </cell>
          <cell r="C38" t="str">
            <v>LAURENDHO RADIEFCA MURDIONO</v>
          </cell>
          <cell r="D38">
            <v>78.8</v>
          </cell>
          <cell r="E38" t="str">
            <v>C</v>
          </cell>
          <cell r="F38"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39">
          <cell r="B39">
            <v>36</v>
          </cell>
          <cell r="C39" t="str">
            <v>MARSYA MAYDINA DWI RISQITA</v>
          </cell>
          <cell r="D39">
            <v>78.8</v>
          </cell>
          <cell r="E39" t="str">
            <v>C</v>
          </cell>
          <cell r="F39" t="str">
            <v>Ananda Marsya Maydina Dwi Risqita baik dalam Mempraktikkan variasi gerak dasar lokomotor, non-lokomotor, dan manipulatif sesuai dengan konsep tubuh, ruang, usaha, dan keterhubungan dalam permainan bola besar sederhana dan atau tradisional*.  Cukup dalam M</v>
          </cell>
        </row>
        <row r="40">
          <cell r="B40">
            <v>37</v>
          </cell>
          <cell r="C40" t="str">
            <v>MILA SARASWATI</v>
          </cell>
          <cell r="D40">
            <v>78.8</v>
          </cell>
          <cell r="E40" t="str">
            <v>C</v>
          </cell>
          <cell r="F40" t="str">
            <v>Ananda Mila Saraswati baik dalam Mempraktikkan variasi gerak dasar lokomotor, non-lokomotor, dan manipulatif sesuai dengan konsep tubuh, ruang, usaha, dan keterhubungan dalam permainan bola besar sederhana dan atau tradisional*.  Cukup dalam Mempraktikkan</v>
          </cell>
        </row>
        <row r="41">
          <cell r="B41">
            <v>38</v>
          </cell>
          <cell r="C41" t="str">
            <v>MUHAMMAD ARKAN ALLY RACHMAD</v>
          </cell>
          <cell r="D41">
            <v>78.8</v>
          </cell>
          <cell r="E41" t="str">
            <v>C</v>
          </cell>
          <cell r="F41"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42">
          <cell r="B42">
            <v>39</v>
          </cell>
          <cell r="C42" t="str">
            <v>MUHAMMAD REVIAN ABDULLOH FAQIH</v>
          </cell>
          <cell r="D42">
            <v>78.8</v>
          </cell>
          <cell r="E42" t="str">
            <v>C</v>
          </cell>
          <cell r="F42" t="str">
            <v>Ananda Muhammad Revian Abdulloh Faqih baik dalam Mempraktikkan variasi gerak dasar lokomotor, non-lokomotor, dan manipulatif sesuai dengan konsep tubuh, ruang, usaha, dan keterhubungan dalam permainan bola besar sederhana dan atau tradisional*.  Cukup dal</v>
          </cell>
        </row>
        <row r="43">
          <cell r="B43">
            <v>40</v>
          </cell>
          <cell r="C43" t="str">
            <v>NABILA AYUNINGTIAS</v>
          </cell>
          <cell r="D43">
            <v>78.8</v>
          </cell>
          <cell r="E43" t="str">
            <v>C</v>
          </cell>
          <cell r="F43" t="str">
            <v>Ananda Nabila Ayuningtias baik dalam Mempraktikkan variasi gerak dasar lokomotor, non-lokomotor, dan manipulatif sesuai dengan konsep tubuh, ruang, usaha, dan keterhubungan dalam permainan bola besar sederhana dan atau tradisional*.  Cukup dalam Memprakti</v>
          </cell>
        </row>
        <row r="44">
          <cell r="B44">
            <v>41</v>
          </cell>
          <cell r="C44" t="str">
            <v>NARESWARI MASAYU PUSPANINGRUM</v>
          </cell>
          <cell r="D44">
            <v>78.8</v>
          </cell>
          <cell r="E44" t="str">
            <v>C</v>
          </cell>
          <cell r="F44" t="str">
            <v>Ananda Nareswari Masayu Puspaningrum baik dalam Mempraktikkan variasi gerak dasar lokomotor, non-lokomotor, dan manipulatif sesuai dengan konsep tubuh, ruang, usaha, dan keterhubungan dalam permainan bola besar sederhana dan atau tradisional*.  Cukup dala</v>
          </cell>
        </row>
        <row r="45">
          <cell r="B45">
            <v>42</v>
          </cell>
          <cell r="C45" t="str">
            <v>NOVA SASMYTA</v>
          </cell>
          <cell r="D45">
            <v>78.8</v>
          </cell>
          <cell r="E45" t="str">
            <v>C</v>
          </cell>
          <cell r="F45" t="str">
            <v>Ananda Nova Sasmyta baik dalam Mempraktikkan variasi gerak dasar lokomotor, non-lokomotor, dan manipulatif sesuai dengan konsep tubuh, ruang, usaha, dan keterhubungan dalam permainan bola besar sederhana dan atau tradisional*.  Cukup dalam Mempraktikkan v</v>
          </cell>
        </row>
        <row r="46">
          <cell r="B46">
            <v>43</v>
          </cell>
          <cell r="C46" t="str">
            <v>RIDHA RAHMATUL AULA RIDWAN</v>
          </cell>
          <cell r="D46">
            <v>78.8</v>
          </cell>
          <cell r="E46" t="str">
            <v>C</v>
          </cell>
          <cell r="F46" t="str">
            <v>Ananda Ridha Rahmatul Aula Ridwan baik dalam Mempraktikkan variasi gerak dasar lokomotor, non-lokomotor, dan manipulatif sesuai dengan konsep tubuh, ruang, usaha, dan keterhubungan dalam permainan bola besar sederhana dan atau tradisional*.  Cukup dalam M</v>
          </cell>
        </row>
        <row r="47">
          <cell r="B47">
            <v>44</v>
          </cell>
          <cell r="C47" t="str">
            <v>RIFDA SALSABILA PURNAMA</v>
          </cell>
          <cell r="D47">
            <v>78.8</v>
          </cell>
          <cell r="E47" t="str">
            <v>C</v>
          </cell>
          <cell r="F47" t="str">
            <v>Ananda Rifda Salsabila Purnama baik dalam Mempraktikkan variasi gerak dasar lokomotor, non-lokomotor, dan manipulatif sesuai dengan konsep tubuh, ruang, usaha, dan keterhubungan dalam permainan bola besar sederhana dan atau tradisional*.  Cukup dalam Memp</v>
          </cell>
        </row>
        <row r="48">
          <cell r="B48">
            <v>45</v>
          </cell>
          <cell r="C48" t="str">
            <v>RIZKI INTAN KURNIAENDAH</v>
          </cell>
          <cell r="D48">
            <v>78.8</v>
          </cell>
          <cell r="E48" t="str">
            <v>C</v>
          </cell>
          <cell r="F48" t="str">
            <v>Ananda Rizki Intan Kurniaendah baik dalam Mempraktikkan variasi gerak dasar lokomotor, non-lokomotor, dan manipulatif sesuai dengan konsep tubuh, ruang, usaha, dan keterhubungan dalam permainan bola besar sederhana dan atau tradisional*.  Cukup dalam Memp</v>
          </cell>
        </row>
        <row r="49">
          <cell r="B49">
            <v>46</v>
          </cell>
          <cell r="C49" t="str">
            <v>RIZKY FIRMANSYAH</v>
          </cell>
          <cell r="D49">
            <v>78.8</v>
          </cell>
          <cell r="E49" t="str">
            <v>C</v>
          </cell>
          <cell r="F49" t="str">
            <v>Ananda Rizky Firmansyah baik dalam Mempraktikkan variasi gerak dasar lokomotor, non-lokomotor, dan manipulatif sesuai dengan konsep tubuh, ruang, usaha, dan keterhubungan dalam permainan bola besar sederhana dan atau tradisional*.  Cukup dalam Mempraktikk</v>
          </cell>
        </row>
        <row r="50">
          <cell r="B50">
            <v>47</v>
          </cell>
          <cell r="C50" t="str">
            <v>SAFIRA NUR LAYLA RAMADHANI</v>
          </cell>
          <cell r="D50">
            <v>78.8</v>
          </cell>
          <cell r="E50" t="str">
            <v>C</v>
          </cell>
          <cell r="F50" t="str">
            <v>Ananda Safira Nur Layla Ramadhani baik dalam Mempraktikkan variasi gerak dasar lokomotor, non-lokomotor, dan manipulatif sesuai dengan konsep tubuh, ruang, usaha, dan keterhubungan dalam permainan bola besar sederhana dan atau tradisional*.  Cukup dalam M</v>
          </cell>
        </row>
        <row r="51">
          <cell r="B51">
            <v>48</v>
          </cell>
          <cell r="C51" t="str">
            <v>SHANASTRI RUFAIDA</v>
          </cell>
          <cell r="D51">
            <v>78.8</v>
          </cell>
          <cell r="E51" t="str">
            <v>C</v>
          </cell>
          <cell r="F51" t="str">
            <v>Ananda Shanastri Rufaida baik dalam Mempraktikkan variasi gerak dasar lokomotor, non-lokomotor, dan manipulatif sesuai dengan konsep tubuh, ruang, usaha, dan keterhubungan dalam permainan bola besar sederhana dan atau tradisional*.  Cukup dalam Mempraktik</v>
          </cell>
        </row>
        <row r="52">
          <cell r="B52">
            <v>49</v>
          </cell>
          <cell r="C52" t="str">
            <v>SHIAM SAHARA</v>
          </cell>
          <cell r="D52">
            <v>78.8</v>
          </cell>
          <cell r="E52" t="str">
            <v>C</v>
          </cell>
          <cell r="F52" t="str">
            <v>Ananda Shiam Sahara baik dalam Mempraktikkan variasi gerak dasar lokomotor, non-lokomotor, dan manipulatif sesuai dengan konsep tubuh, ruang, usaha, dan keterhubungan dalam permainan bola besar sederhana dan atau tradisional*.  Cukup dalam Mempraktikkan v</v>
          </cell>
        </row>
        <row r="53">
          <cell r="B53">
            <v>50</v>
          </cell>
          <cell r="C53" t="str">
            <v>SUSAN APRILIA PUTRI</v>
          </cell>
          <cell r="D53">
            <v>78.8</v>
          </cell>
          <cell r="E53" t="str">
            <v>C</v>
          </cell>
          <cell r="F53" t="str">
            <v>Ananda Susan Aprilia Putri baik dalam Mempraktikkan variasi gerak dasar lokomotor, non-lokomotor, dan manipulatif sesuai dengan konsep tubuh, ruang, usaha, dan keterhubungan dalam permainan bola besar sederhana dan atau tradisional*.  Cukup dalam Memprakt</v>
          </cell>
        </row>
      </sheetData>
      <sheetData sheetId="46"/>
      <sheetData sheetId="47">
        <row r="4">
          <cell r="B4">
            <v>1</v>
          </cell>
          <cell r="C4" t="str">
            <v>AZKA AFINA KHOIRUL IZA</v>
          </cell>
          <cell r="D4">
            <v>80</v>
          </cell>
          <cell r="E4" t="str">
            <v>B</v>
          </cell>
          <cell r="F4" t="str">
            <v xml:space="preserve">Ananda Azka Afina Khoirul Iza baik dalam Menyajikan laporan hasil pengamatan tentang bentuk dan fungsi bagian tubuh hewan dan tumbuhan.  Cukup dalam Menyajikan laporan hasil percobaan tentang sifat-sifat cahaya. </v>
          </cell>
        </row>
        <row r="5">
          <cell r="B5">
            <v>2</v>
          </cell>
          <cell r="C5" t="str">
            <v>BAGUS WIDA KANAKA</v>
          </cell>
          <cell r="D5">
            <v>80</v>
          </cell>
          <cell r="E5" t="str">
            <v>B</v>
          </cell>
          <cell r="F5" t="str">
            <v xml:space="preserve">Ananda Bagus Wida Kanaka baik dalam Menyajikan laporan hasil pengamatan tentang bentuk dan fungsi bagian tubuh hewan dan tumbuhan.  Cukup dalam Menyajikan laporan hasil percobaan tentang sifat-sifat cahaya. </v>
          </cell>
        </row>
        <row r="6">
          <cell r="B6">
            <v>3</v>
          </cell>
          <cell r="C6" t="str">
            <v>DENI FIRYA ATHALLAH PRADINAYA</v>
          </cell>
          <cell r="D6">
            <v>80</v>
          </cell>
          <cell r="E6" t="str">
            <v>B</v>
          </cell>
          <cell r="F6" t="str">
            <v xml:space="preserve">Ananda Deni Firya Athallah Pradinaya baik dalam Menyajikan laporan hasil pengamatan tentang bentuk dan fungsi bagian tubuh hewan dan tumbuhan.  Cukup dalam Menyajikan laporan hasil percobaan tentang sifat-sifat cahaya. </v>
          </cell>
        </row>
        <row r="7">
          <cell r="B7">
            <v>4</v>
          </cell>
          <cell r="C7" t="str">
            <v>DEWI GALUH MULANSARI</v>
          </cell>
          <cell r="D7">
            <v>80</v>
          </cell>
          <cell r="E7" t="str">
            <v>B</v>
          </cell>
          <cell r="F7" t="str">
            <v xml:space="preserve">Ananda Dewi Galuh Mulansari baik dalam Menyajikan laporan hasil pengamatan tentang bentuk dan fungsi bagian tubuh hewan dan tumbuhan.  Cukup dalam Menyajikan laporan hasil percobaan tentang sifat-sifat cahaya. </v>
          </cell>
        </row>
        <row r="8">
          <cell r="B8">
            <v>5</v>
          </cell>
          <cell r="C8" t="str">
            <v>DIAN PUJI LESTARI</v>
          </cell>
          <cell r="D8">
            <v>80</v>
          </cell>
          <cell r="E8" t="str">
            <v>B</v>
          </cell>
          <cell r="F8" t="str">
            <v xml:space="preserve">Ananda Dian Puji Lestari baik dalam Menyajikan laporan hasil pengamatan tentang bentuk dan fungsi bagian tubuh hewan dan tumbuhan.  Cukup dalam Menyajikan laporan hasil percobaan tentang sifat-sifat cahaya. </v>
          </cell>
        </row>
        <row r="9">
          <cell r="B9">
            <v>6</v>
          </cell>
          <cell r="C9" t="str">
            <v>Hafidz Langgeng Prasetyo</v>
          </cell>
          <cell r="D9">
            <v>80</v>
          </cell>
          <cell r="E9" t="str">
            <v>B</v>
          </cell>
          <cell r="F9" t="str">
            <v xml:space="preserve">Ananda Hafidz Langgeng Prasetyo baik dalam Menyajikan laporan hasil pengamatan tentang bentuk dan fungsi bagian tubuh hewan dan tumbuhan.  Cukup dalam Menyajikan laporan hasil percobaan tentang sifat-sifat cahaya. </v>
          </cell>
        </row>
        <row r="10">
          <cell r="B10">
            <v>7</v>
          </cell>
          <cell r="C10" t="str">
            <v>JALU ARTHA AJI MANGGALA HANDOKO</v>
          </cell>
          <cell r="D10">
            <v>80</v>
          </cell>
          <cell r="E10" t="str">
            <v>B</v>
          </cell>
          <cell r="F10" t="str">
            <v xml:space="preserve">Ananda Jalu Artha Aji Manggala Handoko baik dalam Menyajikan laporan hasil pengamatan tentang bentuk dan fungsi bagian tubuh hewan dan tumbuhan.  Cukup dalam Menyajikan laporan hasil percobaan tentang sifat-sifat cahaya. </v>
          </cell>
        </row>
        <row r="11">
          <cell r="B11">
            <v>8</v>
          </cell>
          <cell r="C11" t="str">
            <v>LAURENDHO RADIEFCA MURDIONO</v>
          </cell>
          <cell r="D11">
            <v>80</v>
          </cell>
          <cell r="E11" t="str">
            <v>B</v>
          </cell>
          <cell r="F11" t="str">
            <v xml:space="preserve">Ananda Laurendho Radiefca Murdiono baik dalam Menyajikan laporan hasil pengamatan tentang bentuk dan fungsi bagian tubuh hewan dan tumbuhan.  Cukup dalam Menyajikan laporan hasil percobaan tentang sifat-sifat cahaya. </v>
          </cell>
        </row>
        <row r="12">
          <cell r="B12">
            <v>9</v>
          </cell>
          <cell r="C12" t="str">
            <v>MARSYA MAYDINA DWI RISQITA</v>
          </cell>
          <cell r="D12">
            <v>80</v>
          </cell>
          <cell r="E12" t="str">
            <v>B</v>
          </cell>
          <cell r="F12" t="str">
            <v xml:space="preserve">Ananda Marsya Maydina Dwi Risqita baik dalam Menyajikan laporan hasil pengamatan tentang bentuk dan fungsi bagian tubuh hewan dan tumbuhan.  Cukup dalam Menyajikan laporan hasil percobaan tentang sifat-sifat cahaya. </v>
          </cell>
        </row>
        <row r="13">
          <cell r="B13">
            <v>10</v>
          </cell>
          <cell r="C13" t="str">
            <v>MILA SARASWATI</v>
          </cell>
          <cell r="D13">
            <v>80</v>
          </cell>
          <cell r="E13" t="str">
            <v>B</v>
          </cell>
          <cell r="F13" t="str">
            <v xml:space="preserve">Ananda Mila Saraswati baik dalam Menyajikan laporan hasil pengamatan tentang bentuk dan fungsi bagian tubuh hewan dan tumbuhan.  Cukup dalam Menyajikan laporan hasil percobaan tentang sifat-sifat cahaya. </v>
          </cell>
        </row>
        <row r="14">
          <cell r="B14">
            <v>11</v>
          </cell>
          <cell r="C14" t="str">
            <v>MUHAMMAD ARKAN ALLY RACHMAD</v>
          </cell>
          <cell r="D14">
            <v>80</v>
          </cell>
          <cell r="E14" t="str">
            <v>B</v>
          </cell>
          <cell r="F14" t="str">
            <v xml:space="preserve">Ananda Muhammad Arkan Ally Rachmad baik dalam Menyajikan laporan hasil pengamatan tentang bentuk dan fungsi bagian tubuh hewan dan tumbuhan.  Cukup dalam Menyajikan laporan hasil percobaan tentang sifat-sifat cahaya. </v>
          </cell>
        </row>
        <row r="15">
          <cell r="B15">
            <v>12</v>
          </cell>
          <cell r="C15" t="str">
            <v>MUHAMMAD REVIAN ABDULLOH FAQIH</v>
          </cell>
          <cell r="D15">
            <v>80</v>
          </cell>
          <cell r="E15" t="str">
            <v>B</v>
          </cell>
          <cell r="F15" t="str">
            <v xml:space="preserve">Ananda Muhammad Revian Abdulloh Faqih baik dalam Menyajikan laporan hasil pengamatan tentang bentuk dan fungsi bagian tubuh hewan dan tumbuhan.  Cukup dalam Menyajikan laporan hasil percobaan tentang sifat-sifat cahaya. </v>
          </cell>
        </row>
        <row r="16">
          <cell r="B16">
            <v>13</v>
          </cell>
          <cell r="C16" t="str">
            <v>NABILA AYUNINGTIAS</v>
          </cell>
          <cell r="D16">
            <v>80</v>
          </cell>
          <cell r="E16" t="str">
            <v>B</v>
          </cell>
          <cell r="F16" t="str">
            <v xml:space="preserve">Ananda Nabila Ayuningtias baik dalam Menyajikan laporan hasil pengamatan tentang bentuk dan fungsi bagian tubuh hewan dan tumbuhan.  Cukup dalam Menyajikan laporan hasil percobaan tentang sifat-sifat cahaya. </v>
          </cell>
        </row>
        <row r="17">
          <cell r="B17">
            <v>14</v>
          </cell>
          <cell r="C17" t="str">
            <v>NARESWARI MASAYU PUSPANINGRUM</v>
          </cell>
          <cell r="D17">
            <v>80</v>
          </cell>
          <cell r="E17" t="str">
            <v>B</v>
          </cell>
          <cell r="F17" t="str">
            <v xml:space="preserve">Ananda Nareswari Masayu Puspaningrum baik dalam Menyajikan laporan hasil pengamatan tentang bentuk dan fungsi bagian tubuh hewan dan tumbuhan.  Cukup dalam Menyajikan laporan hasil percobaan tentang sifat-sifat cahaya. </v>
          </cell>
        </row>
        <row r="18">
          <cell r="B18">
            <v>15</v>
          </cell>
          <cell r="C18" t="str">
            <v>NOVA SASMYTA</v>
          </cell>
          <cell r="D18">
            <v>80</v>
          </cell>
          <cell r="E18" t="str">
            <v>B</v>
          </cell>
          <cell r="F18" t="str">
            <v xml:space="preserve">Ananda Nova Sasmyta baik dalam Menyajikan laporan hasil pengamatan tentang bentuk dan fungsi bagian tubuh hewan dan tumbuhan.  Cukup dalam Menyajikan laporan hasil percobaan tentang sifat-sifat cahaya. </v>
          </cell>
        </row>
        <row r="19">
          <cell r="B19">
            <v>16</v>
          </cell>
          <cell r="C19" t="str">
            <v>RIDHA RAHMATUL AULA RIDWAN</v>
          </cell>
          <cell r="D19">
            <v>80</v>
          </cell>
          <cell r="E19" t="str">
            <v>B</v>
          </cell>
          <cell r="F19" t="str">
            <v xml:space="preserve">Ananda Ridha Rahmatul Aula Ridwan baik dalam Menyajikan laporan hasil pengamatan tentang bentuk dan fungsi bagian tubuh hewan dan tumbuhan.  Cukup dalam Menyajikan laporan hasil percobaan tentang sifat-sifat cahaya. </v>
          </cell>
        </row>
        <row r="20">
          <cell r="B20">
            <v>17</v>
          </cell>
          <cell r="C20" t="str">
            <v>RIFDA SALSABILA PURNAMA</v>
          </cell>
          <cell r="D20">
            <v>80</v>
          </cell>
          <cell r="E20" t="str">
            <v>B</v>
          </cell>
          <cell r="F20" t="str">
            <v xml:space="preserve">Ananda Rifda Salsabila Purnama baik dalam Menyajikan laporan hasil pengamatan tentang bentuk dan fungsi bagian tubuh hewan dan tumbuhan.  Cukup dalam Menyajikan laporan hasil percobaan tentang sifat-sifat cahaya. </v>
          </cell>
        </row>
        <row r="21">
          <cell r="B21">
            <v>18</v>
          </cell>
          <cell r="C21" t="str">
            <v>RIZKI INTAN KURNIAENDAH</v>
          </cell>
          <cell r="D21">
            <v>80</v>
          </cell>
          <cell r="E21" t="str">
            <v>B</v>
          </cell>
          <cell r="F21" t="str">
            <v xml:space="preserve">Ananda Rizki Intan Kurniaendah baik dalam Menyajikan laporan hasil pengamatan tentang bentuk dan fungsi bagian tubuh hewan dan tumbuhan.  Cukup dalam Menyajikan laporan hasil percobaan tentang sifat-sifat cahaya. </v>
          </cell>
        </row>
        <row r="22">
          <cell r="B22">
            <v>19</v>
          </cell>
          <cell r="C22" t="str">
            <v>RIZKY FIRMANSYAH</v>
          </cell>
          <cell r="D22">
            <v>80</v>
          </cell>
          <cell r="E22" t="str">
            <v>B</v>
          </cell>
          <cell r="F22" t="str">
            <v xml:space="preserve">Ananda Rizky Firmansyah baik dalam Menyajikan laporan hasil pengamatan tentang bentuk dan fungsi bagian tubuh hewan dan tumbuhan.  Cukup dalam Menyajikan laporan hasil percobaan tentang sifat-sifat cahaya. </v>
          </cell>
        </row>
        <row r="23">
          <cell r="B23">
            <v>20</v>
          </cell>
          <cell r="C23" t="str">
            <v>SAFIRA NUR LAYLA RAMADHANI</v>
          </cell>
          <cell r="D23">
            <v>80</v>
          </cell>
          <cell r="E23" t="str">
            <v>B</v>
          </cell>
          <cell r="F23" t="str">
            <v xml:space="preserve">Ananda Safira Nur Layla Ramadhani baik dalam Menyajikan laporan hasil pengamatan tentang bentuk dan fungsi bagian tubuh hewan dan tumbuhan.  Cukup dalam Menyajikan laporan hasil percobaan tentang sifat-sifat cahaya. </v>
          </cell>
        </row>
        <row r="24">
          <cell r="B24">
            <v>21</v>
          </cell>
          <cell r="C24" t="str">
            <v>SHANASTRI RUFAIDA</v>
          </cell>
          <cell r="D24">
            <v>80</v>
          </cell>
          <cell r="E24" t="str">
            <v>B</v>
          </cell>
          <cell r="F24" t="str">
            <v xml:space="preserve">Ananda Shanastri Rufaida baik dalam Menyajikan laporan hasil pengamatan tentang bentuk dan fungsi bagian tubuh hewan dan tumbuhan.  Cukup dalam Menyajikan laporan hasil percobaan tentang sifat-sifat cahaya. </v>
          </cell>
        </row>
        <row r="25">
          <cell r="B25">
            <v>22</v>
          </cell>
          <cell r="C25" t="str">
            <v>SHIAM SAHARA</v>
          </cell>
          <cell r="D25">
            <v>80</v>
          </cell>
          <cell r="E25" t="str">
            <v>B</v>
          </cell>
          <cell r="F25" t="str">
            <v xml:space="preserve">Ananda Shiam Sahara baik dalam Menyajikan laporan hasil pengamatan tentang bentuk dan fungsi bagian tubuh hewan dan tumbuhan.  Cukup dalam Menyajikan laporan hasil percobaan tentang sifat-sifat cahaya. </v>
          </cell>
        </row>
        <row r="26">
          <cell r="B26">
            <v>23</v>
          </cell>
          <cell r="C26" t="str">
            <v>SUSAN APRILIA PUTRI</v>
          </cell>
          <cell r="D26">
            <v>80</v>
          </cell>
          <cell r="E26" t="str">
            <v>B</v>
          </cell>
          <cell r="F26" t="str">
            <v xml:space="preserve">Ananda Susan Aprilia Putri baik dalam Menyajikan laporan hasil pengamatan tentang bentuk dan fungsi bagian tubuh hewan dan tumbuhan.  Cukup dalam Menyajikan laporan hasil percobaan tentang sifat-sifat cahaya. </v>
          </cell>
        </row>
        <row r="27">
          <cell r="B27">
            <v>24</v>
          </cell>
          <cell r="C27" t="str">
            <v>SYIFAUL CHUSNA BANATU ROHMI HADI</v>
          </cell>
          <cell r="D27">
            <v>80</v>
          </cell>
          <cell r="E27" t="str">
            <v>B</v>
          </cell>
          <cell r="F27" t="str">
            <v xml:space="preserve">Ananda Syifaul Chusna Banatu Rohmi Hadi baik dalam Menyajikan laporan hasil pengamatan tentang bentuk dan fungsi bagian tubuh hewan dan tumbuhan.  Cukup dalam Menyajikan laporan hasil percobaan tentang sifat-sifat cahaya. </v>
          </cell>
        </row>
        <row r="28">
          <cell r="B28">
            <v>25</v>
          </cell>
          <cell r="C28" t="str">
            <v>VANESSA VICKY AYU LESTARI</v>
          </cell>
          <cell r="D28">
            <v>80</v>
          </cell>
          <cell r="E28" t="str">
            <v>B</v>
          </cell>
          <cell r="F28" t="str">
            <v xml:space="preserve">Ananda Vanessa Vicky Ayu Lestari baik dalam Menyajikan laporan hasil pengamatan tentang bentuk dan fungsi bagian tubuh hewan dan tumbuhan.  Cukup dalam Menyajikan laporan hasil percobaan tentang sifat-sifat cahaya. </v>
          </cell>
        </row>
        <row r="29">
          <cell r="B29">
            <v>26</v>
          </cell>
          <cell r="C29" t="str">
            <v>WIBI NUR FIRMANSYAH</v>
          </cell>
          <cell r="D29">
            <v>80</v>
          </cell>
          <cell r="E29" t="str">
            <v>B</v>
          </cell>
          <cell r="F29" t="str">
            <v xml:space="preserve">Ananda Wibi Nur Firmansyah baik dalam Menyajikan laporan hasil pengamatan tentang bentuk dan fungsi bagian tubuh hewan dan tumbuhan.  Cukup dalam Menyajikan laporan hasil percobaan tentang sifat-sifat cahaya. </v>
          </cell>
        </row>
        <row r="30">
          <cell r="B30">
            <v>27</v>
          </cell>
          <cell r="C30" t="str">
            <v>ZULFIDA NURUL MAZIDAH</v>
          </cell>
          <cell r="D30">
            <v>80</v>
          </cell>
          <cell r="E30" t="str">
            <v>B</v>
          </cell>
          <cell r="F30" t="str">
            <v xml:space="preserve">Ananda Zulfida Nurul Mazidah baik dalam Menyajikan laporan hasil pengamatan tentang bentuk dan fungsi bagian tubuh hewan dan tumbuhan.  Cukup dalam Menyajikan laporan hasil percobaan tentang sifat-sifat cahaya. </v>
          </cell>
        </row>
        <row r="31">
          <cell r="B31">
            <v>28</v>
          </cell>
          <cell r="C31" t="str">
            <v>AZKA AFINA KHOIRUL IZA</v>
          </cell>
          <cell r="D31">
            <v>80</v>
          </cell>
          <cell r="E31" t="str">
            <v>B</v>
          </cell>
          <cell r="F31" t="str">
            <v xml:space="preserve">Ananda Azka Afina Khoirul Iza baik dalam Menyajikan laporan hasil pengamatan tentang bentuk dan fungsi bagian tubuh hewan dan tumbuhan.  Cukup dalam Menyajikan laporan hasil percobaan tentang sifat-sifat cahaya. </v>
          </cell>
        </row>
        <row r="32">
          <cell r="B32">
            <v>29</v>
          </cell>
          <cell r="C32" t="str">
            <v>BAGUS WIDA KANAKA</v>
          </cell>
          <cell r="D32">
            <v>80</v>
          </cell>
          <cell r="E32" t="str">
            <v>B</v>
          </cell>
          <cell r="F32" t="str">
            <v xml:space="preserve">Ananda Bagus Wida Kanaka baik dalam Menyajikan laporan hasil pengamatan tentang bentuk dan fungsi bagian tubuh hewan dan tumbuhan.  Cukup dalam Menyajikan laporan hasil percobaan tentang sifat-sifat cahaya. </v>
          </cell>
        </row>
        <row r="33">
          <cell r="B33">
            <v>30</v>
          </cell>
          <cell r="C33" t="str">
            <v>DENI FIRYA ATHALLAH PRADINAYA</v>
          </cell>
          <cell r="D33">
            <v>80</v>
          </cell>
          <cell r="E33" t="str">
            <v>B</v>
          </cell>
          <cell r="F33" t="str">
            <v xml:space="preserve">Ananda Deni Firya Athallah Pradinaya baik dalam Menyajikan laporan hasil pengamatan tentang bentuk dan fungsi bagian tubuh hewan dan tumbuhan.  Cukup dalam Menyajikan laporan hasil percobaan tentang sifat-sifat cahaya. </v>
          </cell>
        </row>
        <row r="34">
          <cell r="B34">
            <v>31</v>
          </cell>
          <cell r="C34" t="str">
            <v>DEWI GALUH MULANSARI</v>
          </cell>
          <cell r="D34">
            <v>80</v>
          </cell>
          <cell r="E34" t="str">
            <v>B</v>
          </cell>
          <cell r="F34" t="str">
            <v xml:space="preserve">Ananda Dewi Galuh Mulansari baik dalam Menyajikan laporan hasil pengamatan tentang bentuk dan fungsi bagian tubuh hewan dan tumbuhan.  Cukup dalam Menyajikan laporan hasil percobaan tentang sifat-sifat cahaya. </v>
          </cell>
        </row>
        <row r="35">
          <cell r="B35">
            <v>32</v>
          </cell>
          <cell r="C35" t="str">
            <v>DIAN PUJI LESTARI</v>
          </cell>
          <cell r="D35">
            <v>80</v>
          </cell>
          <cell r="E35" t="str">
            <v>B</v>
          </cell>
          <cell r="F35" t="str">
            <v xml:space="preserve">Ananda Dian Puji Lestari baik dalam Menyajikan laporan hasil pengamatan tentang bentuk dan fungsi bagian tubuh hewan dan tumbuhan.  Cukup dalam Menyajikan laporan hasil percobaan tentang sifat-sifat cahaya. </v>
          </cell>
        </row>
        <row r="36">
          <cell r="B36">
            <v>33</v>
          </cell>
          <cell r="C36" t="str">
            <v>Hafidz Langgeng Prasetyo</v>
          </cell>
          <cell r="D36">
            <v>80</v>
          </cell>
          <cell r="E36" t="str">
            <v>B</v>
          </cell>
          <cell r="F36" t="str">
            <v xml:space="preserve">Ananda Hafidz Langgeng Prasetyo baik dalam Menyajikan laporan hasil pengamatan tentang bentuk dan fungsi bagian tubuh hewan dan tumbuhan.  Cukup dalam Menyajikan laporan hasil percobaan tentang sifat-sifat cahaya. </v>
          </cell>
        </row>
        <row r="37">
          <cell r="B37">
            <v>34</v>
          </cell>
          <cell r="C37" t="str">
            <v>JALU ARTHA AJI MANGGALA HANDOKO</v>
          </cell>
          <cell r="D37">
            <v>80</v>
          </cell>
          <cell r="E37" t="str">
            <v>B</v>
          </cell>
          <cell r="F37" t="str">
            <v xml:space="preserve">Ananda Jalu Artha Aji Manggala Handoko baik dalam Menyajikan laporan hasil pengamatan tentang bentuk dan fungsi bagian tubuh hewan dan tumbuhan.  Cukup dalam Menyajikan laporan hasil percobaan tentang sifat-sifat cahaya. </v>
          </cell>
        </row>
        <row r="38">
          <cell r="B38">
            <v>35</v>
          </cell>
          <cell r="C38" t="str">
            <v>LAURENDHO RADIEFCA MURDIONO</v>
          </cell>
          <cell r="D38">
            <v>80</v>
          </cell>
          <cell r="E38" t="str">
            <v>B</v>
          </cell>
          <cell r="F38" t="str">
            <v xml:space="preserve">Ananda Laurendho Radiefca Murdiono baik dalam Menyajikan laporan hasil pengamatan tentang bentuk dan fungsi bagian tubuh hewan dan tumbuhan.  Cukup dalam Menyajikan laporan hasil percobaan tentang sifat-sifat cahaya. </v>
          </cell>
        </row>
        <row r="39">
          <cell r="B39">
            <v>36</v>
          </cell>
          <cell r="C39" t="str">
            <v>MARSYA MAYDINA DWI RISQITA</v>
          </cell>
          <cell r="D39">
            <v>80</v>
          </cell>
          <cell r="E39" t="str">
            <v>B</v>
          </cell>
          <cell r="F39" t="str">
            <v xml:space="preserve">Ananda Marsya Maydina Dwi Risqita baik dalam Menyajikan laporan hasil pengamatan tentang bentuk dan fungsi bagian tubuh hewan dan tumbuhan.  Cukup dalam Menyajikan laporan hasil percobaan tentang sifat-sifat cahaya. </v>
          </cell>
        </row>
        <row r="40">
          <cell r="B40">
            <v>37</v>
          </cell>
          <cell r="C40" t="str">
            <v>MILA SARASWATI</v>
          </cell>
          <cell r="D40">
            <v>80</v>
          </cell>
          <cell r="E40" t="str">
            <v>B</v>
          </cell>
          <cell r="F40" t="str">
            <v xml:space="preserve">Ananda Mila Saraswati baik dalam Menyajikan laporan hasil pengamatan tentang bentuk dan fungsi bagian tubuh hewan dan tumbuhan.  Cukup dalam Menyajikan laporan hasil percobaan tentang sifat-sifat cahaya. </v>
          </cell>
        </row>
        <row r="41">
          <cell r="B41">
            <v>38</v>
          </cell>
          <cell r="C41" t="str">
            <v>MUHAMMAD ARKAN ALLY RACHMAD</v>
          </cell>
          <cell r="D41">
            <v>80</v>
          </cell>
          <cell r="E41" t="str">
            <v>B</v>
          </cell>
          <cell r="F41" t="str">
            <v xml:space="preserve">Ananda Muhammad Arkan Ally Rachmad baik dalam Menyajikan laporan hasil pengamatan tentang bentuk dan fungsi bagian tubuh hewan dan tumbuhan.  Cukup dalam Menyajikan laporan hasil percobaan tentang sifat-sifat cahaya. </v>
          </cell>
        </row>
        <row r="42">
          <cell r="B42">
            <v>39</v>
          </cell>
          <cell r="C42" t="str">
            <v>MUHAMMAD REVIAN ABDULLOH FAQIH</v>
          </cell>
          <cell r="D42">
            <v>80</v>
          </cell>
          <cell r="E42" t="str">
            <v>B</v>
          </cell>
          <cell r="F42" t="str">
            <v xml:space="preserve">Ananda Muhammad Revian Abdulloh Faqih baik dalam Menyajikan laporan hasil pengamatan tentang bentuk dan fungsi bagian tubuh hewan dan tumbuhan.  Cukup dalam Menyajikan laporan hasil percobaan tentang sifat-sifat cahaya. </v>
          </cell>
        </row>
        <row r="43">
          <cell r="B43">
            <v>40</v>
          </cell>
          <cell r="C43" t="str">
            <v>NABILA AYUNINGTIAS</v>
          </cell>
          <cell r="D43">
            <v>80</v>
          </cell>
          <cell r="E43" t="str">
            <v>B</v>
          </cell>
          <cell r="F43" t="str">
            <v xml:space="preserve">Ananda Nabila Ayuningtias baik dalam Menyajikan laporan hasil pengamatan tentang bentuk dan fungsi bagian tubuh hewan dan tumbuhan.  Cukup dalam Menyajikan laporan hasil percobaan tentang sifat-sifat cahaya. </v>
          </cell>
        </row>
        <row r="44">
          <cell r="B44">
            <v>41</v>
          </cell>
          <cell r="C44" t="str">
            <v>NARESWARI MASAYU PUSPANINGRUM</v>
          </cell>
          <cell r="D44">
            <v>80</v>
          </cell>
          <cell r="E44" t="str">
            <v>B</v>
          </cell>
          <cell r="F44" t="str">
            <v xml:space="preserve">Ananda Nareswari Masayu Puspaningrum baik dalam Menyajikan laporan hasil pengamatan tentang bentuk dan fungsi bagian tubuh hewan dan tumbuhan.  Cukup dalam Menyajikan laporan hasil percobaan tentang sifat-sifat cahaya. </v>
          </cell>
        </row>
        <row r="45">
          <cell r="B45">
            <v>42</v>
          </cell>
          <cell r="C45" t="str">
            <v>NOVA SASMYTA</v>
          </cell>
          <cell r="D45">
            <v>80</v>
          </cell>
          <cell r="E45" t="str">
            <v>B</v>
          </cell>
          <cell r="F45" t="str">
            <v xml:space="preserve">Ananda Nova Sasmyta baik dalam Menyajikan laporan hasil pengamatan tentang bentuk dan fungsi bagian tubuh hewan dan tumbuhan.  Cukup dalam Menyajikan laporan hasil percobaan tentang sifat-sifat cahaya. </v>
          </cell>
        </row>
        <row r="46">
          <cell r="B46">
            <v>43</v>
          </cell>
          <cell r="C46" t="str">
            <v>RIDHA RAHMATUL AULA RIDWAN</v>
          </cell>
          <cell r="D46">
            <v>80</v>
          </cell>
          <cell r="E46" t="str">
            <v>B</v>
          </cell>
          <cell r="F46" t="str">
            <v xml:space="preserve">Ananda Ridha Rahmatul Aula Ridwan baik dalam Menyajikan laporan hasil pengamatan tentang bentuk dan fungsi bagian tubuh hewan dan tumbuhan.  Cukup dalam Menyajikan laporan hasil percobaan tentang sifat-sifat cahaya. </v>
          </cell>
        </row>
        <row r="47">
          <cell r="B47">
            <v>44</v>
          </cell>
          <cell r="C47" t="str">
            <v>RIFDA SALSABILA PURNAMA</v>
          </cell>
          <cell r="D47">
            <v>80</v>
          </cell>
          <cell r="E47" t="str">
            <v>B</v>
          </cell>
          <cell r="F47" t="str">
            <v xml:space="preserve">Ananda Rifda Salsabila Purnama baik dalam Menyajikan laporan hasil pengamatan tentang bentuk dan fungsi bagian tubuh hewan dan tumbuhan.  Cukup dalam Menyajikan laporan hasil percobaan tentang sifat-sifat cahaya. </v>
          </cell>
        </row>
        <row r="48">
          <cell r="B48">
            <v>45</v>
          </cell>
          <cell r="C48" t="str">
            <v>RIZKI INTAN KURNIAENDAH</v>
          </cell>
          <cell r="D48">
            <v>80</v>
          </cell>
          <cell r="E48" t="str">
            <v>B</v>
          </cell>
          <cell r="F48" t="str">
            <v xml:space="preserve">Ananda Rizki Intan Kurniaendah baik dalam Menyajikan laporan hasil pengamatan tentang bentuk dan fungsi bagian tubuh hewan dan tumbuhan.  Cukup dalam Menyajikan laporan hasil percobaan tentang sifat-sifat cahaya. </v>
          </cell>
        </row>
        <row r="49">
          <cell r="B49">
            <v>46</v>
          </cell>
          <cell r="C49" t="str">
            <v>RIZKY FIRMANSYAH</v>
          </cell>
          <cell r="D49">
            <v>80</v>
          </cell>
          <cell r="E49" t="str">
            <v>B</v>
          </cell>
          <cell r="F49" t="str">
            <v xml:space="preserve">Ananda Rizky Firmansyah baik dalam Menyajikan laporan hasil pengamatan tentang bentuk dan fungsi bagian tubuh hewan dan tumbuhan.  Cukup dalam Menyajikan laporan hasil percobaan tentang sifat-sifat cahaya. </v>
          </cell>
        </row>
        <row r="50">
          <cell r="B50">
            <v>47</v>
          </cell>
          <cell r="C50" t="str">
            <v>SAFIRA NUR LAYLA RAMADHANI</v>
          </cell>
          <cell r="D50">
            <v>80</v>
          </cell>
          <cell r="E50" t="str">
            <v>B</v>
          </cell>
          <cell r="F50" t="str">
            <v xml:space="preserve">Ananda Safira Nur Layla Ramadhani baik dalam Menyajikan laporan hasil pengamatan tentang bentuk dan fungsi bagian tubuh hewan dan tumbuhan.  Cukup dalam Menyajikan laporan hasil percobaan tentang sifat-sifat cahaya. </v>
          </cell>
        </row>
        <row r="51">
          <cell r="B51">
            <v>48</v>
          </cell>
          <cell r="C51" t="str">
            <v>SHANASTRI RUFAIDA</v>
          </cell>
          <cell r="D51">
            <v>80</v>
          </cell>
          <cell r="E51" t="str">
            <v>B</v>
          </cell>
          <cell r="F51" t="str">
            <v xml:space="preserve">Ananda Shanastri Rufaida baik dalam Menyajikan laporan hasil pengamatan tentang bentuk dan fungsi bagian tubuh hewan dan tumbuhan.  Cukup dalam Menyajikan laporan hasil percobaan tentang sifat-sifat cahaya. </v>
          </cell>
        </row>
        <row r="52">
          <cell r="B52">
            <v>49</v>
          </cell>
          <cell r="C52" t="str">
            <v>SHIAM SAHARA</v>
          </cell>
          <cell r="D52">
            <v>80</v>
          </cell>
          <cell r="E52" t="str">
            <v>B</v>
          </cell>
          <cell r="F52" t="str">
            <v xml:space="preserve">Ananda Shiam Sahara baik dalam Menyajikan laporan hasil pengamatan tentang bentuk dan fungsi bagian tubuh hewan dan tumbuhan.  Cukup dalam Menyajikan laporan hasil percobaan tentang sifat-sifat cahaya. </v>
          </cell>
        </row>
        <row r="53">
          <cell r="B53">
            <v>50</v>
          </cell>
          <cell r="C53" t="str">
            <v>SUSAN APRILIA PUTRI</v>
          </cell>
          <cell r="D53">
            <v>80</v>
          </cell>
          <cell r="E53" t="str">
            <v>B</v>
          </cell>
          <cell r="F53" t="str">
            <v xml:space="preserve">Ananda Susan Aprilia Putri baik dalam Menyajikan laporan hasil pengamatan tentang bentuk dan fungsi bagian tubuh hewan dan tumbuhan.  Cukup dalam Menyajikan laporan hasil percobaan tentang sifat-sifat cahaya. </v>
          </cell>
        </row>
      </sheetData>
      <sheetData sheetId="48"/>
      <sheetData sheetId="49">
        <row r="4">
          <cell r="B4">
            <v>1</v>
          </cell>
          <cell r="C4" t="str">
            <v>AZKA AFINA KHOIRUL IZA</v>
          </cell>
          <cell r="D4">
            <v>78.8</v>
          </cell>
          <cell r="E4" t="str">
            <v>C</v>
          </cell>
          <cell r="F4"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5">
          <cell r="B5">
            <v>2</v>
          </cell>
          <cell r="C5" t="str">
            <v>BAGUS WIDA KANAKA</v>
          </cell>
          <cell r="D5">
            <v>78.8</v>
          </cell>
          <cell r="E5" t="str">
            <v>C</v>
          </cell>
          <cell r="F5"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6">
          <cell r="B6">
            <v>3</v>
          </cell>
          <cell r="C6" t="str">
            <v>DENI FIRYA ATHALLAH PRADINAYA</v>
          </cell>
          <cell r="D6">
            <v>78.8</v>
          </cell>
          <cell r="E6" t="str">
            <v>C</v>
          </cell>
          <cell r="F6" t="str">
            <v>Ananda Deni Firya Athallah Pradinaya baik dalam Menata informasi yang didapat dari teks berdasarkan keterhubungan antargagasan ke dalam kerangka tulisan.  Cukup dalam Menyampaikan pengetahuan baru dari teks nonfiksi ke dalam tulisan dengan bahasa sendiri.</v>
          </cell>
        </row>
        <row r="7">
          <cell r="B7">
            <v>4</v>
          </cell>
          <cell r="C7" t="str">
            <v>DEWI GALUH MULANSARI</v>
          </cell>
          <cell r="D7">
            <v>78.8</v>
          </cell>
          <cell r="E7" t="str">
            <v>C</v>
          </cell>
          <cell r="F7"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8">
          <cell r="B8">
            <v>5</v>
          </cell>
          <cell r="C8" t="str">
            <v>DIAN PUJI LESTARI</v>
          </cell>
          <cell r="D8">
            <v>78.8</v>
          </cell>
          <cell r="E8" t="str">
            <v>C</v>
          </cell>
          <cell r="F8"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9">
          <cell r="B9">
            <v>6</v>
          </cell>
          <cell r="C9" t="str">
            <v>Hafidz Langgeng Prasetyo</v>
          </cell>
          <cell r="D9">
            <v>78.8</v>
          </cell>
          <cell r="E9" t="str">
            <v>C</v>
          </cell>
          <cell r="F9"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10">
          <cell r="B10">
            <v>7</v>
          </cell>
          <cell r="C10" t="str">
            <v>JALU ARTHA AJI MANGGALA HANDOKO</v>
          </cell>
          <cell r="D10">
            <v>78.8</v>
          </cell>
          <cell r="E10" t="str">
            <v>C</v>
          </cell>
          <cell r="F10" t="str">
            <v>Ananda Jalu Artha Aji Manggala Handoko baik dalam Menata informasi yang didapat dari teks berdasarkan keterhubungan antargagasan ke dalam kerangka tulisan.  Cukup dalam Menyampaikan pengetahuan baru dari teks nonfiksi ke dalam tulisan dengan bahasa sendir</v>
          </cell>
        </row>
        <row r="11">
          <cell r="B11">
            <v>8</v>
          </cell>
          <cell r="C11" t="str">
            <v>LAURENDHO RADIEFCA MURDIONO</v>
          </cell>
          <cell r="D11">
            <v>78.8</v>
          </cell>
          <cell r="E11" t="str">
            <v>C</v>
          </cell>
          <cell r="F11"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12">
          <cell r="B12">
            <v>9</v>
          </cell>
          <cell r="C12" t="str">
            <v>MARSYA MAYDINA DWI RISQITA</v>
          </cell>
          <cell r="D12">
            <v>78.8</v>
          </cell>
          <cell r="E12" t="str">
            <v>C</v>
          </cell>
          <cell r="F12"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13">
          <cell r="B13">
            <v>10</v>
          </cell>
          <cell r="C13" t="str">
            <v>MILA SARASWATI</v>
          </cell>
          <cell r="D13">
            <v>78.8</v>
          </cell>
          <cell r="E13" t="str">
            <v>C</v>
          </cell>
          <cell r="F13" t="str">
            <v xml:space="preserve">Ananda Mila Saraswati baik dalam Menata informasi yang didapat dari teks berdasarkan keterhubungan antargagasan ke dalam kerangka tulisan.  Cukup dalam Menyampaikan pengetahuan baru dari teks nonfiksi ke dalam tulisan dengan bahasa sendiri. </v>
          </cell>
        </row>
        <row r="14">
          <cell r="B14">
            <v>11</v>
          </cell>
          <cell r="C14" t="str">
            <v>MUHAMMAD ARKAN ALLY RACHMAD</v>
          </cell>
          <cell r="D14">
            <v>78.8</v>
          </cell>
          <cell r="E14" t="str">
            <v>C</v>
          </cell>
          <cell r="F14"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15">
          <cell r="B15">
            <v>12</v>
          </cell>
          <cell r="C15" t="str">
            <v>MUHAMMAD REVIAN ABDULLOH FAQIH</v>
          </cell>
          <cell r="D15">
            <v>78.8</v>
          </cell>
          <cell r="E15" t="str">
            <v>C</v>
          </cell>
          <cell r="F15" t="str">
            <v>Ananda Muhammad Revian Abdulloh Faqih baik dalam Menata informasi yang didapat dari teks berdasarkan keterhubungan antargagasan ke dalam kerangka tulisan.  Cukup dalam Menyampaikan pengetahuan baru dari teks nonfiksi ke dalam tulisan dengan bahasa sendiri</v>
          </cell>
        </row>
        <row r="16">
          <cell r="B16">
            <v>13</v>
          </cell>
          <cell r="C16" t="str">
            <v>NABILA AYUNINGTIAS</v>
          </cell>
          <cell r="D16">
            <v>78.8</v>
          </cell>
          <cell r="E16" t="str">
            <v>C</v>
          </cell>
          <cell r="F16"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17">
          <cell r="B17">
            <v>14</v>
          </cell>
          <cell r="C17" t="str">
            <v>NARESWARI MASAYU PUSPANINGRUM</v>
          </cell>
          <cell r="D17">
            <v>78.8</v>
          </cell>
          <cell r="E17" t="str">
            <v>C</v>
          </cell>
          <cell r="F17" t="str">
            <v>Ananda Nareswari Masayu Puspaningrum baik dalam Menata informasi yang didapat dari teks berdasarkan keterhubungan antargagasan ke dalam kerangka tulisan.  Cukup dalam Menyampaikan pengetahuan baru dari teks nonfiksi ke dalam tulisan dengan bahasa sendiri.</v>
          </cell>
        </row>
        <row r="18">
          <cell r="B18">
            <v>15</v>
          </cell>
          <cell r="C18" t="str">
            <v>NOVA SASMYTA</v>
          </cell>
          <cell r="D18">
            <v>78.8</v>
          </cell>
          <cell r="E18" t="str">
            <v>C</v>
          </cell>
          <cell r="F18" t="str">
            <v xml:space="preserve">Ananda Nova Sasmyta baik dalam Menata informasi yang didapat dari teks berdasarkan keterhubungan antargagasan ke dalam kerangka tulisan.  Cukup dalam Menyampaikan pengetahuan baru dari teks nonfiksi ke dalam tulisan dengan bahasa sendiri. </v>
          </cell>
        </row>
        <row r="19">
          <cell r="B19">
            <v>16</v>
          </cell>
          <cell r="C19" t="str">
            <v>RIDHA RAHMATUL AULA RIDWAN</v>
          </cell>
          <cell r="D19">
            <v>78.8</v>
          </cell>
          <cell r="E19" t="str">
            <v>C</v>
          </cell>
          <cell r="F19"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20">
          <cell r="B20">
            <v>17</v>
          </cell>
          <cell r="C20" t="str">
            <v>RIFDA SALSABILA PURNAMA</v>
          </cell>
          <cell r="D20">
            <v>78.8</v>
          </cell>
          <cell r="E20" t="str">
            <v>C</v>
          </cell>
          <cell r="F20"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21">
          <cell r="B21">
            <v>18</v>
          </cell>
          <cell r="C21" t="str">
            <v>RIZKI INTAN KURNIAENDAH</v>
          </cell>
          <cell r="D21">
            <v>78.8</v>
          </cell>
          <cell r="E21" t="str">
            <v>C</v>
          </cell>
          <cell r="F21"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22">
          <cell r="B22">
            <v>19</v>
          </cell>
          <cell r="C22" t="str">
            <v>RIZKY FIRMANSYAH</v>
          </cell>
          <cell r="D22">
            <v>78.8</v>
          </cell>
          <cell r="E22" t="str">
            <v>C</v>
          </cell>
          <cell r="F22"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23">
          <cell r="B23">
            <v>20</v>
          </cell>
          <cell r="C23" t="str">
            <v>SAFIRA NUR LAYLA RAMADHANI</v>
          </cell>
          <cell r="D23">
            <v>78.8</v>
          </cell>
          <cell r="E23" t="str">
            <v>C</v>
          </cell>
          <cell r="F23"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24">
          <cell r="B24">
            <v>21</v>
          </cell>
          <cell r="C24" t="str">
            <v>SHANASTRI RUFAIDA</v>
          </cell>
          <cell r="D24">
            <v>78.8</v>
          </cell>
          <cell r="E24" t="str">
            <v>C</v>
          </cell>
          <cell r="F24"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25">
          <cell r="B25">
            <v>22</v>
          </cell>
          <cell r="C25" t="str">
            <v>SHIAM SAHARA</v>
          </cell>
          <cell r="D25">
            <v>78.8</v>
          </cell>
          <cell r="E25" t="str">
            <v>C</v>
          </cell>
          <cell r="F25" t="str">
            <v xml:space="preserve">Ananda Shiam Sahara baik dalam Menata informasi yang didapat dari teks berdasarkan keterhubungan antargagasan ke dalam kerangka tulisan.  Cukup dalam Menyampaikan pengetahuan baru dari teks nonfiksi ke dalam tulisan dengan bahasa sendiri. </v>
          </cell>
        </row>
        <row r="26">
          <cell r="B26">
            <v>23</v>
          </cell>
          <cell r="C26" t="str">
            <v>SUSAN APRILIA PUTRI</v>
          </cell>
          <cell r="D26">
            <v>78.8</v>
          </cell>
          <cell r="E26" t="str">
            <v>C</v>
          </cell>
          <cell r="F26" t="str">
            <v xml:space="preserve">Ananda Susan Aprilia Putri baik dalam Menata informasi yang didapat dari teks berdasarkan keterhubungan antargagasan ke dalam kerangka tulisan.  Cukup dalam Menyampaikan pengetahuan baru dari teks nonfiksi ke dalam tulisan dengan bahasa sendiri. </v>
          </cell>
        </row>
        <row r="27">
          <cell r="B27">
            <v>24</v>
          </cell>
          <cell r="C27" t="str">
            <v>SYIFAUL CHUSNA BANATU ROHMI HADI</v>
          </cell>
          <cell r="D27">
            <v>78.8</v>
          </cell>
          <cell r="E27" t="str">
            <v>C</v>
          </cell>
          <cell r="F27" t="str">
            <v>Ananda Syifaul Chusna Banatu Rohmi Hadi baik dalam Menata informasi yang didapat dari teks berdasarkan keterhubungan antargagasan ke dalam kerangka tulisan.  Cukup dalam Menyampaikan pengetahuan baru dari teks nonfiksi ke dalam tulisan dengan bahasa sendi</v>
          </cell>
        </row>
        <row r="28">
          <cell r="B28">
            <v>25</v>
          </cell>
          <cell r="C28" t="str">
            <v>VANESSA VICKY AYU LESTARI</v>
          </cell>
          <cell r="D28">
            <v>78.8</v>
          </cell>
          <cell r="E28" t="str">
            <v>C</v>
          </cell>
          <cell r="F28" t="str">
            <v xml:space="preserve">Ananda Vanessa Vicky Ayu Lestari baik dalam Menata informasi yang didapat dari teks berdasarkan keterhubungan antargagasan ke dalam kerangka tulisan.  Cukup dalam Menyampaikan pengetahuan baru dari teks nonfiksi ke dalam tulisan dengan bahasa sendiri. </v>
          </cell>
        </row>
        <row r="29">
          <cell r="B29">
            <v>26</v>
          </cell>
          <cell r="C29" t="str">
            <v>WIBI NUR FIRMANSYAH</v>
          </cell>
          <cell r="D29">
            <v>78.8</v>
          </cell>
          <cell r="E29" t="str">
            <v>C</v>
          </cell>
          <cell r="F29" t="str">
            <v xml:space="preserve">Ananda Wibi Nur Firmansyah baik dalam Menata informasi yang didapat dari teks berdasarkan keterhubungan antargagasan ke dalam kerangka tulisan.  Cukup dalam Menyampaikan pengetahuan baru dari teks nonfiksi ke dalam tulisan dengan bahasa sendiri. </v>
          </cell>
        </row>
        <row r="30">
          <cell r="B30">
            <v>27</v>
          </cell>
          <cell r="C30" t="str">
            <v>ZULFIDA NURUL MAZIDAH</v>
          </cell>
          <cell r="D30">
            <v>78.8</v>
          </cell>
          <cell r="E30" t="str">
            <v>C</v>
          </cell>
          <cell r="F30" t="str">
            <v xml:space="preserve">Ananda Zulfida Nurul Mazidah baik dalam Menata informasi yang didapat dari teks berdasarkan keterhubungan antargagasan ke dalam kerangka tulisan.  Cukup dalam Menyampaikan pengetahuan baru dari teks nonfiksi ke dalam tulisan dengan bahasa sendiri. </v>
          </cell>
        </row>
        <row r="31">
          <cell r="B31">
            <v>28</v>
          </cell>
          <cell r="C31" t="str">
            <v>AZKA AFINA KHOIRUL IZA</v>
          </cell>
          <cell r="D31">
            <v>78.8</v>
          </cell>
          <cell r="E31" t="str">
            <v>C</v>
          </cell>
          <cell r="F31"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32">
          <cell r="B32">
            <v>29</v>
          </cell>
          <cell r="C32" t="str">
            <v>BAGUS WIDA KANAKA</v>
          </cell>
          <cell r="D32">
            <v>78.8</v>
          </cell>
          <cell r="E32" t="str">
            <v>C</v>
          </cell>
          <cell r="F32"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33">
          <cell r="B33">
            <v>30</v>
          </cell>
          <cell r="C33" t="str">
            <v>DENI FIRYA ATHALLAH PRADINAYA</v>
          </cell>
          <cell r="D33">
            <v>78.8</v>
          </cell>
          <cell r="E33" t="str">
            <v>C</v>
          </cell>
          <cell r="F33" t="str">
            <v>Ananda Deni Firya Athallah Pradinaya baik dalam Menata informasi yang didapat dari teks berdasarkan keterhubungan antargagasan ke dalam kerangka tulisan.  Cukup dalam Menyampaikan pengetahuan baru dari teks nonfiksi ke dalam tulisan dengan bahasa sendiri.</v>
          </cell>
        </row>
        <row r="34">
          <cell r="B34">
            <v>31</v>
          </cell>
          <cell r="C34" t="str">
            <v>DEWI GALUH MULANSARI</v>
          </cell>
          <cell r="D34">
            <v>78.8</v>
          </cell>
          <cell r="E34" t="str">
            <v>C</v>
          </cell>
          <cell r="F34"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35">
          <cell r="B35">
            <v>32</v>
          </cell>
          <cell r="C35" t="str">
            <v>DIAN PUJI LESTARI</v>
          </cell>
          <cell r="D35">
            <v>78.8</v>
          </cell>
          <cell r="E35" t="str">
            <v>C</v>
          </cell>
          <cell r="F35"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36">
          <cell r="B36">
            <v>33</v>
          </cell>
          <cell r="C36" t="str">
            <v>Hafidz Langgeng Prasetyo</v>
          </cell>
          <cell r="D36">
            <v>78.8</v>
          </cell>
          <cell r="E36" t="str">
            <v>C</v>
          </cell>
          <cell r="F36"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37">
          <cell r="B37">
            <v>34</v>
          </cell>
          <cell r="C37" t="str">
            <v>JALU ARTHA AJI MANGGALA HANDOKO</v>
          </cell>
          <cell r="D37">
            <v>78.8</v>
          </cell>
          <cell r="E37" t="str">
            <v>C</v>
          </cell>
          <cell r="F37" t="str">
            <v>Ananda Jalu Artha Aji Manggala Handoko baik dalam Menata informasi yang didapat dari teks berdasarkan keterhubungan antargagasan ke dalam kerangka tulisan.  Cukup dalam Menyampaikan pengetahuan baru dari teks nonfiksi ke dalam tulisan dengan bahasa sendir</v>
          </cell>
        </row>
        <row r="38">
          <cell r="B38">
            <v>35</v>
          </cell>
          <cell r="C38" t="str">
            <v>LAURENDHO RADIEFCA MURDIONO</v>
          </cell>
          <cell r="D38">
            <v>78.8</v>
          </cell>
          <cell r="E38" t="str">
            <v>C</v>
          </cell>
          <cell r="F38"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39">
          <cell r="B39">
            <v>36</v>
          </cell>
          <cell r="C39" t="str">
            <v>MARSYA MAYDINA DWI RISQITA</v>
          </cell>
          <cell r="D39">
            <v>78.8</v>
          </cell>
          <cell r="E39" t="str">
            <v>C</v>
          </cell>
          <cell r="F39"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40">
          <cell r="B40">
            <v>37</v>
          </cell>
          <cell r="C40" t="str">
            <v>MILA SARASWATI</v>
          </cell>
          <cell r="D40">
            <v>78.8</v>
          </cell>
          <cell r="E40" t="str">
            <v>C</v>
          </cell>
          <cell r="F40" t="str">
            <v xml:space="preserve">Ananda Mila Saraswati baik dalam Menata informasi yang didapat dari teks berdasarkan keterhubungan antargagasan ke dalam kerangka tulisan.  Cukup dalam Menyampaikan pengetahuan baru dari teks nonfiksi ke dalam tulisan dengan bahasa sendiri. </v>
          </cell>
        </row>
        <row r="41">
          <cell r="B41">
            <v>38</v>
          </cell>
          <cell r="C41" t="str">
            <v>MUHAMMAD ARKAN ALLY RACHMAD</v>
          </cell>
          <cell r="D41">
            <v>78.8</v>
          </cell>
          <cell r="E41" t="str">
            <v>C</v>
          </cell>
          <cell r="F41"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42">
          <cell r="B42">
            <v>39</v>
          </cell>
          <cell r="C42" t="str">
            <v>MUHAMMAD REVIAN ABDULLOH FAQIH</v>
          </cell>
          <cell r="D42">
            <v>78.8</v>
          </cell>
          <cell r="E42" t="str">
            <v>C</v>
          </cell>
          <cell r="F42" t="str">
            <v>Ananda Muhammad Revian Abdulloh Faqih baik dalam Menata informasi yang didapat dari teks berdasarkan keterhubungan antargagasan ke dalam kerangka tulisan.  Cukup dalam Menyampaikan pengetahuan baru dari teks nonfiksi ke dalam tulisan dengan bahasa sendiri</v>
          </cell>
        </row>
        <row r="43">
          <cell r="B43">
            <v>40</v>
          </cell>
          <cell r="C43" t="str">
            <v>NABILA AYUNINGTIAS</v>
          </cell>
          <cell r="D43">
            <v>78.8</v>
          </cell>
          <cell r="E43" t="str">
            <v>C</v>
          </cell>
          <cell r="F43"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44">
          <cell r="B44">
            <v>41</v>
          </cell>
          <cell r="C44" t="str">
            <v>NARESWARI MASAYU PUSPANINGRUM</v>
          </cell>
          <cell r="D44">
            <v>78.8</v>
          </cell>
          <cell r="E44" t="str">
            <v>C</v>
          </cell>
          <cell r="F44" t="str">
            <v>Ananda Nareswari Masayu Puspaningrum baik dalam Menata informasi yang didapat dari teks berdasarkan keterhubungan antargagasan ke dalam kerangka tulisan.  Cukup dalam Menyampaikan pengetahuan baru dari teks nonfiksi ke dalam tulisan dengan bahasa sendiri.</v>
          </cell>
        </row>
        <row r="45">
          <cell r="B45">
            <v>42</v>
          </cell>
          <cell r="C45" t="str">
            <v>NOVA SASMYTA</v>
          </cell>
          <cell r="D45">
            <v>78.8</v>
          </cell>
          <cell r="E45" t="str">
            <v>C</v>
          </cell>
          <cell r="F45" t="str">
            <v xml:space="preserve">Ananda Nova Sasmyta baik dalam Menata informasi yang didapat dari teks berdasarkan keterhubungan antargagasan ke dalam kerangka tulisan.  Cukup dalam Menyampaikan pengetahuan baru dari teks nonfiksi ke dalam tulisan dengan bahasa sendiri. </v>
          </cell>
        </row>
        <row r="46">
          <cell r="B46">
            <v>43</v>
          </cell>
          <cell r="C46" t="str">
            <v>RIDHA RAHMATUL AULA RIDWAN</v>
          </cell>
          <cell r="D46">
            <v>78.8</v>
          </cell>
          <cell r="E46" t="str">
            <v>C</v>
          </cell>
          <cell r="F46"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47">
          <cell r="B47">
            <v>44</v>
          </cell>
          <cell r="C47" t="str">
            <v>RIFDA SALSABILA PURNAMA</v>
          </cell>
          <cell r="D47">
            <v>78.8</v>
          </cell>
          <cell r="E47" t="str">
            <v>C</v>
          </cell>
          <cell r="F47"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48">
          <cell r="B48">
            <v>45</v>
          </cell>
          <cell r="C48" t="str">
            <v>RIZKI INTAN KURNIAENDAH</v>
          </cell>
          <cell r="D48">
            <v>78.8</v>
          </cell>
          <cell r="E48" t="str">
            <v>C</v>
          </cell>
          <cell r="F48"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49">
          <cell r="B49">
            <v>46</v>
          </cell>
          <cell r="C49" t="str">
            <v>RIZKY FIRMANSYAH</v>
          </cell>
          <cell r="D49">
            <v>78.8</v>
          </cell>
          <cell r="E49" t="str">
            <v>C</v>
          </cell>
          <cell r="F49"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50">
          <cell r="B50">
            <v>47</v>
          </cell>
          <cell r="C50" t="str">
            <v>SAFIRA NUR LAYLA RAMADHANI</v>
          </cell>
          <cell r="D50">
            <v>78.8</v>
          </cell>
          <cell r="E50" t="str">
            <v>C</v>
          </cell>
          <cell r="F50"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51">
          <cell r="B51">
            <v>48</v>
          </cell>
          <cell r="C51" t="str">
            <v>SHANASTRI RUFAIDA</v>
          </cell>
          <cell r="D51">
            <v>78.8</v>
          </cell>
          <cell r="E51" t="str">
            <v>C</v>
          </cell>
          <cell r="F51"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52">
          <cell r="B52">
            <v>49</v>
          </cell>
          <cell r="C52" t="str">
            <v>SHIAM SAHARA</v>
          </cell>
          <cell r="D52">
            <v>78.8</v>
          </cell>
          <cell r="E52" t="str">
            <v>C</v>
          </cell>
          <cell r="F52" t="str">
            <v xml:space="preserve">Ananda Shiam Sahara baik dalam Menata informasi yang didapat dari teks berdasarkan keterhubungan antargagasan ke dalam kerangka tulisan.  Cukup dalam Menyampaikan pengetahuan baru dari teks nonfiksi ke dalam tulisan dengan bahasa sendiri. </v>
          </cell>
        </row>
        <row r="53">
          <cell r="B53">
            <v>50</v>
          </cell>
          <cell r="C53" t="str">
            <v>SUSAN APRILIA PUTRI</v>
          </cell>
          <cell r="D53">
            <v>78.8</v>
          </cell>
          <cell r="E53" t="str">
            <v>C</v>
          </cell>
          <cell r="F53" t="str">
            <v xml:space="preserve">Ananda Susan Aprilia Putri baik dalam Menata informasi yang didapat dari teks berdasarkan keterhubungan antargagasan ke dalam kerangka tulisan.  Cukup dalam Menyampaikan pengetahuan baru dari teks nonfiksi ke dalam tulisan dengan bahasa sendiri. </v>
          </cell>
        </row>
      </sheetData>
      <sheetData sheetId="50">
        <row r="4">
          <cell r="B4">
            <v>1</v>
          </cell>
          <cell r="C4" t="str">
            <v>AZKA AFINA KHOIRUL IZA</v>
          </cell>
          <cell r="D4">
            <v>77.388888888888872</v>
          </cell>
          <cell r="E4" t="str">
            <v>C</v>
          </cell>
          <cell r="F4" t="str">
            <v xml:space="preserve">Ananda Azka Afina Khoirul Iza sangat baik dalam Mengidentifikasi pecahan-pecahan senilai dengan gambar dan model konkret.  Perlu bimbingan dalam Mengukur sudut pada bangun datar dalam satuan baku dengan menggunakan busur derajat. </v>
          </cell>
        </row>
        <row r="5">
          <cell r="B5">
            <v>2</v>
          </cell>
          <cell r="C5" t="str">
            <v>BAGUS WIDA KANAKA</v>
          </cell>
          <cell r="D5">
            <v>76.833333333333329</v>
          </cell>
          <cell r="E5" t="str">
            <v>C</v>
          </cell>
          <cell r="F5" t="str">
            <v xml:space="preserve">Ananda Bagus Wida Kanaka baik dalam Mengidentifikasi pecahan-pecahan senilai dengan gambar dan model konkret.  Perlu bimbingan dalam Mengukur sudut pada bangun datar dalam satuan baku dengan menggunakan busur derajat. </v>
          </cell>
        </row>
        <row r="6">
          <cell r="B6">
            <v>3</v>
          </cell>
          <cell r="C6" t="str">
            <v>DENI FIRYA ATHALLAH PRADINAYA</v>
          </cell>
          <cell r="D6">
            <v>76.833333333333329</v>
          </cell>
          <cell r="E6" t="str">
            <v>C</v>
          </cell>
          <cell r="F6" t="str">
            <v xml:space="preserve">Ananda Deni Firya Athallah Pradinaya baik dalam Mengidentifikasi pecahan-pecahan senilai dengan gambar dan model konkret.  Perlu bimbingan dalam Mengukur sudut pada bangun datar dalam satuan baku dengan menggunakan busur derajat. </v>
          </cell>
        </row>
        <row r="7">
          <cell r="B7">
            <v>4</v>
          </cell>
          <cell r="C7" t="str">
            <v>DEWI GALUH MULANSARI</v>
          </cell>
          <cell r="D7">
            <v>76.833333333333329</v>
          </cell>
          <cell r="E7" t="str">
            <v>C</v>
          </cell>
          <cell r="F7" t="str">
            <v xml:space="preserve">Ananda Dewi Galuh Mulansari baik dalam Mengidentifikasi pecahan-pecahan senilai dengan gambar dan model konkret.  Perlu bimbingan dalam Mengukur sudut pada bangun datar dalam satuan baku dengan menggunakan busur derajat. </v>
          </cell>
        </row>
        <row r="8">
          <cell r="B8">
            <v>5</v>
          </cell>
          <cell r="C8" t="str">
            <v>DIAN PUJI LESTARI</v>
          </cell>
          <cell r="D8">
            <v>76.833333333333329</v>
          </cell>
          <cell r="E8" t="str">
            <v>C</v>
          </cell>
          <cell r="F8" t="str">
            <v xml:space="preserve">Ananda Dian Puji Lestari baik dalam Mengidentifikasi pecahan-pecahan senilai dengan gambar dan model konkret.  Perlu bimbingan dalam Mengukur sudut pada bangun datar dalam satuan baku dengan menggunakan busur derajat. </v>
          </cell>
        </row>
        <row r="9">
          <cell r="B9">
            <v>6</v>
          </cell>
          <cell r="C9" t="str">
            <v>Hafidz Langgeng Prasetyo</v>
          </cell>
          <cell r="D9">
            <v>76.833333333333329</v>
          </cell>
          <cell r="E9" t="str">
            <v>C</v>
          </cell>
          <cell r="F9" t="str">
            <v xml:space="preserve">Ananda Hafidz Langgeng Prasetyo baik dalam Mengidentifikasi pecahan-pecahan senilai dengan gambar dan model konkret.  Perlu bimbingan dalam Mengukur sudut pada bangun datar dalam satuan baku dengan menggunakan busur derajat. </v>
          </cell>
        </row>
        <row r="10">
          <cell r="B10">
            <v>7</v>
          </cell>
          <cell r="C10" t="str">
            <v>JALU ARTHA AJI MANGGALA HANDOKO</v>
          </cell>
          <cell r="D10">
            <v>76.833333333333329</v>
          </cell>
          <cell r="E10" t="str">
            <v>C</v>
          </cell>
          <cell r="F10" t="str">
            <v xml:space="preserve">Ananda Jalu Artha Aji Manggala Handoko baik dalam Mengidentifikasi pecahan-pecahan senilai dengan gambar dan model konkret.  Perlu bimbingan dalam Mengukur sudut pada bangun datar dalam satuan baku dengan menggunakan busur derajat. </v>
          </cell>
        </row>
        <row r="11">
          <cell r="B11">
            <v>8</v>
          </cell>
          <cell r="C11" t="str">
            <v>LAURENDHO RADIEFCA MURDIONO</v>
          </cell>
          <cell r="D11">
            <v>76.833333333333329</v>
          </cell>
          <cell r="E11" t="str">
            <v>C</v>
          </cell>
          <cell r="F11" t="str">
            <v xml:space="preserve">Ananda Laurendho Radiefca Murdiono baik dalam Mengidentifikasi pecahan-pecahan senilai dengan gambar dan model konkret.  Perlu bimbingan dalam Mengukur sudut pada bangun datar dalam satuan baku dengan menggunakan busur derajat. </v>
          </cell>
        </row>
        <row r="12">
          <cell r="B12">
            <v>9</v>
          </cell>
          <cell r="C12" t="str">
            <v>MARSYA MAYDINA DWI RISQITA</v>
          </cell>
          <cell r="D12">
            <v>76.833333333333329</v>
          </cell>
          <cell r="E12" t="str">
            <v>C</v>
          </cell>
          <cell r="F12" t="str">
            <v xml:space="preserve">Ananda Marsya Maydina Dwi Risqita baik dalam Mengidentifikasi pecahan-pecahan senilai dengan gambar dan model konkret.  Perlu bimbingan dalam Mengukur sudut pada bangun datar dalam satuan baku dengan menggunakan busur derajat. </v>
          </cell>
        </row>
        <row r="13">
          <cell r="B13">
            <v>10</v>
          </cell>
          <cell r="C13" t="str">
            <v>MILA SARASWATI</v>
          </cell>
          <cell r="D13">
            <v>76.833333333333329</v>
          </cell>
          <cell r="E13" t="str">
            <v>C</v>
          </cell>
          <cell r="F13" t="str">
            <v xml:space="preserve">Ananda Mila Saraswati baik dalam Mengidentifikasi pecahan-pecahan senilai dengan gambar dan model konkret.  Perlu bimbingan dalam Mengukur sudut pada bangun datar dalam satuan baku dengan menggunakan busur derajat. </v>
          </cell>
        </row>
        <row r="14">
          <cell r="B14">
            <v>11</v>
          </cell>
          <cell r="C14" t="str">
            <v>MUHAMMAD ARKAN ALLY RACHMAD</v>
          </cell>
          <cell r="D14">
            <v>76.833333333333329</v>
          </cell>
          <cell r="E14" t="str">
            <v>C</v>
          </cell>
          <cell r="F14" t="str">
            <v xml:space="preserve">Ananda Muhammad Arkan Ally Rachmad baik dalam Mengidentifikasi pecahan-pecahan senilai dengan gambar dan model konkret.  Perlu bimbingan dalam Mengukur sudut pada bangun datar dalam satuan baku dengan menggunakan busur derajat. </v>
          </cell>
        </row>
        <row r="15">
          <cell r="B15">
            <v>12</v>
          </cell>
          <cell r="C15" t="str">
            <v>MUHAMMAD REVIAN ABDULLOH FAQIH</v>
          </cell>
          <cell r="D15">
            <v>76.833333333333329</v>
          </cell>
          <cell r="E15" t="str">
            <v>C</v>
          </cell>
          <cell r="F15" t="str">
            <v xml:space="preserve">Ananda Muhammad Revian Abdulloh Faqih baik dalam Mengidentifikasi pecahan-pecahan senilai dengan gambar dan model konkret.  Perlu bimbingan dalam Mengukur sudut pada bangun datar dalam satuan baku dengan menggunakan busur derajat. </v>
          </cell>
        </row>
        <row r="16">
          <cell r="B16">
            <v>13</v>
          </cell>
          <cell r="C16" t="str">
            <v>NABILA AYUNINGTIAS</v>
          </cell>
          <cell r="D16">
            <v>76.833333333333329</v>
          </cell>
          <cell r="E16" t="str">
            <v>C</v>
          </cell>
          <cell r="F16" t="str">
            <v xml:space="preserve">Ananda Nabila Ayuningtias baik dalam Mengidentifikasi pecahan-pecahan senilai dengan gambar dan model konkret.  Perlu bimbingan dalam Mengukur sudut pada bangun datar dalam satuan baku dengan menggunakan busur derajat. </v>
          </cell>
        </row>
        <row r="17">
          <cell r="B17">
            <v>14</v>
          </cell>
          <cell r="C17" t="str">
            <v>NARESWARI MASAYU PUSPANINGRUM</v>
          </cell>
          <cell r="D17">
            <v>76.833333333333329</v>
          </cell>
          <cell r="E17" t="str">
            <v>C</v>
          </cell>
          <cell r="F17" t="str">
            <v xml:space="preserve">Ananda Nareswari Masayu Puspaningrum baik dalam Mengidentifikasi pecahan-pecahan senilai dengan gambar dan model konkret.  Perlu bimbingan dalam Mengukur sudut pada bangun datar dalam satuan baku dengan menggunakan busur derajat. </v>
          </cell>
        </row>
        <row r="18">
          <cell r="B18">
            <v>15</v>
          </cell>
          <cell r="C18" t="str">
            <v>NOVA SASMYTA</v>
          </cell>
          <cell r="D18">
            <v>76.833333333333329</v>
          </cell>
          <cell r="E18" t="str">
            <v>C</v>
          </cell>
          <cell r="F18" t="str">
            <v xml:space="preserve">Ananda Nova Sasmyta baik dalam Mengidentifikasi pecahan-pecahan senilai dengan gambar dan model konkret.  Perlu bimbingan dalam Mengukur sudut pada bangun datar dalam satuan baku dengan menggunakan busur derajat. </v>
          </cell>
        </row>
        <row r="19">
          <cell r="B19">
            <v>16</v>
          </cell>
          <cell r="C19" t="str">
            <v>RIDHA RAHMATUL AULA RIDWAN</v>
          </cell>
          <cell r="D19">
            <v>76.833333333333329</v>
          </cell>
          <cell r="E19" t="str">
            <v>C</v>
          </cell>
          <cell r="F19" t="str">
            <v xml:space="preserve">Ananda Ridha Rahmatul Aula Ridwan baik dalam Mengidentifikasi pecahan-pecahan senilai dengan gambar dan model konkret.  Perlu bimbingan dalam Mengukur sudut pada bangun datar dalam satuan baku dengan menggunakan busur derajat. </v>
          </cell>
        </row>
        <row r="20">
          <cell r="B20">
            <v>17</v>
          </cell>
          <cell r="C20" t="str">
            <v>RIFDA SALSABILA PURNAMA</v>
          </cell>
          <cell r="D20">
            <v>76.833333333333329</v>
          </cell>
          <cell r="E20" t="str">
            <v>C</v>
          </cell>
          <cell r="F20" t="str">
            <v xml:space="preserve">Ananda Rifda Salsabila Purnama baik dalam Mengidentifikasi pecahan-pecahan senilai dengan gambar dan model konkret.  Perlu bimbingan dalam Mengukur sudut pada bangun datar dalam satuan baku dengan menggunakan busur derajat. </v>
          </cell>
        </row>
        <row r="21">
          <cell r="B21">
            <v>18</v>
          </cell>
          <cell r="C21" t="str">
            <v>RIZKI INTAN KURNIAENDAH</v>
          </cell>
          <cell r="D21">
            <v>76.833333333333329</v>
          </cell>
          <cell r="E21" t="str">
            <v>C</v>
          </cell>
          <cell r="F21" t="str">
            <v xml:space="preserve">Ananda Rizki Intan Kurniaendah baik dalam Mengidentifikasi pecahan-pecahan senilai dengan gambar dan model konkret.  Perlu bimbingan dalam Mengukur sudut pada bangun datar dalam satuan baku dengan menggunakan busur derajat. </v>
          </cell>
        </row>
        <row r="22">
          <cell r="B22">
            <v>19</v>
          </cell>
          <cell r="C22" t="str">
            <v>RIZKY FIRMANSYAH</v>
          </cell>
          <cell r="D22">
            <v>76.833333333333329</v>
          </cell>
          <cell r="E22" t="str">
            <v>C</v>
          </cell>
          <cell r="F22" t="str">
            <v xml:space="preserve">Ananda Rizky Firmansyah baik dalam Mengidentifikasi pecahan-pecahan senilai dengan gambar dan model konkret.  Perlu bimbingan dalam Mengukur sudut pada bangun datar dalam satuan baku dengan menggunakan busur derajat. </v>
          </cell>
        </row>
        <row r="23">
          <cell r="B23">
            <v>20</v>
          </cell>
          <cell r="C23" t="str">
            <v>SAFIRA NUR LAYLA RAMADHANI</v>
          </cell>
          <cell r="D23">
            <v>76.833333333333329</v>
          </cell>
          <cell r="E23" t="str">
            <v>C</v>
          </cell>
          <cell r="F23" t="str">
            <v xml:space="preserve">Ananda Safira Nur Layla Ramadhani baik dalam Mengidentifikasi pecahan-pecahan senilai dengan gambar dan model konkret.  Perlu bimbingan dalam Mengukur sudut pada bangun datar dalam satuan baku dengan menggunakan busur derajat. </v>
          </cell>
        </row>
        <row r="24">
          <cell r="B24">
            <v>21</v>
          </cell>
          <cell r="C24" t="str">
            <v>SHANASTRI RUFAIDA</v>
          </cell>
          <cell r="D24">
            <v>76.833333333333329</v>
          </cell>
          <cell r="E24" t="str">
            <v>C</v>
          </cell>
          <cell r="F24" t="str">
            <v xml:space="preserve">Ananda Shanastri Rufaida baik dalam Mengidentifikasi pecahan-pecahan senilai dengan gambar dan model konkret.  Perlu bimbingan dalam Mengukur sudut pada bangun datar dalam satuan baku dengan menggunakan busur derajat. </v>
          </cell>
        </row>
        <row r="25">
          <cell r="B25">
            <v>22</v>
          </cell>
          <cell r="C25" t="str">
            <v>SHIAM SAHARA</v>
          </cell>
          <cell r="D25">
            <v>76.833333333333329</v>
          </cell>
          <cell r="E25" t="str">
            <v>C</v>
          </cell>
          <cell r="F25" t="str">
            <v xml:space="preserve">Ananda Shiam Sahara baik dalam Mengidentifikasi pecahan-pecahan senilai dengan gambar dan model konkret.  Perlu bimbingan dalam Mengukur sudut pada bangun datar dalam satuan baku dengan menggunakan busur derajat. </v>
          </cell>
        </row>
        <row r="26">
          <cell r="B26">
            <v>23</v>
          </cell>
          <cell r="C26" t="str">
            <v>SUSAN APRILIA PUTRI</v>
          </cell>
          <cell r="D26">
            <v>76.833333333333329</v>
          </cell>
          <cell r="E26" t="str">
            <v>C</v>
          </cell>
          <cell r="F26" t="str">
            <v xml:space="preserve">Ananda Susan Aprilia Putri baik dalam Mengidentifikasi pecahan-pecahan senilai dengan gambar dan model konkret.  Perlu bimbingan dalam Mengukur sudut pada bangun datar dalam satuan baku dengan menggunakan busur derajat. </v>
          </cell>
        </row>
        <row r="27">
          <cell r="B27">
            <v>24</v>
          </cell>
          <cell r="C27" t="str">
            <v>SYIFAUL CHUSNA BANATU ROHMI HADI</v>
          </cell>
          <cell r="D27">
            <v>76.833333333333329</v>
          </cell>
          <cell r="E27" t="str">
            <v>C</v>
          </cell>
          <cell r="F27" t="str">
            <v xml:space="preserve">Ananda Syifaul Chusna Banatu Rohmi Hadi baik dalam Mengidentifikasi pecahan-pecahan senilai dengan gambar dan model konkret.  Perlu bimbingan dalam Mengukur sudut pada bangun datar dalam satuan baku dengan menggunakan busur derajat. </v>
          </cell>
        </row>
        <row r="28">
          <cell r="B28">
            <v>25</v>
          </cell>
          <cell r="C28" t="str">
            <v>VANESSA VICKY AYU LESTARI</v>
          </cell>
          <cell r="D28">
            <v>76.833333333333329</v>
          </cell>
          <cell r="E28" t="str">
            <v>C</v>
          </cell>
          <cell r="F28" t="str">
            <v xml:space="preserve">Ananda Vanessa Vicky Ayu Lestari baik dalam Mengidentifikasi pecahan-pecahan senilai dengan gambar dan model konkret.  Perlu bimbingan dalam Mengukur sudut pada bangun datar dalam satuan baku dengan menggunakan busur derajat. </v>
          </cell>
        </row>
        <row r="29">
          <cell r="B29">
            <v>26</v>
          </cell>
          <cell r="C29" t="str">
            <v>WIBI NUR FIRMANSYAH</v>
          </cell>
          <cell r="D29">
            <v>76.833333333333329</v>
          </cell>
          <cell r="E29" t="str">
            <v>C</v>
          </cell>
          <cell r="F29" t="str">
            <v xml:space="preserve">Ananda Wibi Nur Firmansyah baik dalam Mengidentifikasi pecahan-pecahan senilai dengan gambar dan model konkret.  Perlu bimbingan dalam Mengukur sudut pada bangun datar dalam satuan baku dengan menggunakan busur derajat. </v>
          </cell>
        </row>
        <row r="30">
          <cell r="B30">
            <v>27</v>
          </cell>
          <cell r="C30" t="str">
            <v>ZULFIDA NURUL MAZIDAH</v>
          </cell>
          <cell r="D30">
            <v>76.833333333333329</v>
          </cell>
          <cell r="E30" t="str">
            <v>C</v>
          </cell>
          <cell r="F30" t="str">
            <v xml:space="preserve">Ananda Zulfida Nurul Mazidah baik dalam Mengidentifikasi pecahan-pecahan senilai dengan gambar dan model konkret.  Perlu bimbingan dalam Mengukur sudut pada bangun datar dalam satuan baku dengan menggunakan busur derajat. </v>
          </cell>
        </row>
        <row r="31">
          <cell r="B31">
            <v>28</v>
          </cell>
          <cell r="C31" t="str">
            <v>AZKA AFINA KHOIRUL IZA</v>
          </cell>
          <cell r="D31">
            <v>76.833333333333329</v>
          </cell>
          <cell r="E31" t="str">
            <v>C</v>
          </cell>
          <cell r="F31" t="str">
            <v xml:space="preserve">Ananda Azka Afina Khoirul Iza baik dalam Mengidentifikasi pecahan-pecahan senilai dengan gambar dan model konkret.  Perlu bimbingan dalam Mengukur sudut pada bangun datar dalam satuan baku dengan menggunakan busur derajat. </v>
          </cell>
        </row>
        <row r="32">
          <cell r="B32">
            <v>29</v>
          </cell>
          <cell r="C32" t="str">
            <v>BAGUS WIDA KANAKA</v>
          </cell>
          <cell r="D32">
            <v>76.833333333333329</v>
          </cell>
          <cell r="E32" t="str">
            <v>C</v>
          </cell>
          <cell r="F32" t="str">
            <v xml:space="preserve">Ananda Bagus Wida Kanaka baik dalam Mengidentifikasi pecahan-pecahan senilai dengan gambar dan model konkret.  Perlu bimbingan dalam Mengukur sudut pada bangun datar dalam satuan baku dengan menggunakan busur derajat. </v>
          </cell>
        </row>
        <row r="33">
          <cell r="B33">
            <v>30</v>
          </cell>
          <cell r="C33" t="str">
            <v>DENI FIRYA ATHALLAH PRADINAYA</v>
          </cell>
          <cell r="D33">
            <v>76.833333333333329</v>
          </cell>
          <cell r="E33" t="str">
            <v>C</v>
          </cell>
          <cell r="F33" t="str">
            <v xml:space="preserve">Ananda Deni Firya Athallah Pradinaya baik dalam Mengidentifikasi pecahan-pecahan senilai dengan gambar dan model konkret.  Perlu bimbingan dalam Mengukur sudut pada bangun datar dalam satuan baku dengan menggunakan busur derajat. </v>
          </cell>
        </row>
        <row r="34">
          <cell r="B34">
            <v>31</v>
          </cell>
          <cell r="C34" t="str">
            <v>DEWI GALUH MULANSARI</v>
          </cell>
          <cell r="D34">
            <v>76.833333333333329</v>
          </cell>
          <cell r="E34" t="str">
            <v>C</v>
          </cell>
          <cell r="F34" t="str">
            <v xml:space="preserve">Ananda Dewi Galuh Mulansari baik dalam Mengidentifikasi pecahan-pecahan senilai dengan gambar dan model konkret.  Perlu bimbingan dalam Mengukur sudut pada bangun datar dalam satuan baku dengan menggunakan busur derajat. </v>
          </cell>
        </row>
        <row r="35">
          <cell r="B35">
            <v>32</v>
          </cell>
          <cell r="C35" t="str">
            <v>DIAN PUJI LESTARI</v>
          </cell>
          <cell r="D35">
            <v>76.833333333333329</v>
          </cell>
          <cell r="E35" t="str">
            <v>C</v>
          </cell>
          <cell r="F35" t="str">
            <v xml:space="preserve">Ananda Dian Puji Lestari baik dalam Mengidentifikasi pecahan-pecahan senilai dengan gambar dan model konkret.  Perlu bimbingan dalam Mengukur sudut pada bangun datar dalam satuan baku dengan menggunakan busur derajat. </v>
          </cell>
        </row>
        <row r="36">
          <cell r="B36">
            <v>33</v>
          </cell>
          <cell r="C36" t="str">
            <v>Hafidz Langgeng Prasetyo</v>
          </cell>
          <cell r="D36">
            <v>76.833333333333329</v>
          </cell>
          <cell r="E36" t="str">
            <v>C</v>
          </cell>
          <cell r="F36" t="str">
            <v xml:space="preserve">Ananda Hafidz Langgeng Prasetyo baik dalam Mengidentifikasi pecahan-pecahan senilai dengan gambar dan model konkret.  Perlu bimbingan dalam Mengukur sudut pada bangun datar dalam satuan baku dengan menggunakan busur derajat. </v>
          </cell>
        </row>
        <row r="37">
          <cell r="B37">
            <v>34</v>
          </cell>
          <cell r="C37" t="str">
            <v>JALU ARTHA AJI MANGGALA HANDOKO</v>
          </cell>
          <cell r="D37">
            <v>76.833333333333329</v>
          </cell>
          <cell r="E37" t="str">
            <v>C</v>
          </cell>
          <cell r="F37" t="str">
            <v xml:space="preserve">Ananda Jalu Artha Aji Manggala Handoko baik dalam Mengidentifikasi pecahan-pecahan senilai dengan gambar dan model konkret.  Perlu bimbingan dalam Mengukur sudut pada bangun datar dalam satuan baku dengan menggunakan busur derajat. </v>
          </cell>
        </row>
        <row r="38">
          <cell r="B38">
            <v>35</v>
          </cell>
          <cell r="C38" t="str">
            <v>LAURENDHO RADIEFCA MURDIONO</v>
          </cell>
          <cell r="D38">
            <v>76.833333333333329</v>
          </cell>
          <cell r="E38" t="str">
            <v>C</v>
          </cell>
          <cell r="F38" t="str">
            <v xml:space="preserve">Ananda Laurendho Radiefca Murdiono baik dalam Mengidentifikasi pecahan-pecahan senilai dengan gambar dan model konkret.  Perlu bimbingan dalam Mengukur sudut pada bangun datar dalam satuan baku dengan menggunakan busur derajat. </v>
          </cell>
        </row>
        <row r="39">
          <cell r="B39">
            <v>36</v>
          </cell>
          <cell r="C39" t="str">
            <v>MARSYA MAYDINA DWI RISQITA</v>
          </cell>
          <cell r="D39">
            <v>76.833333333333329</v>
          </cell>
          <cell r="E39" t="str">
            <v>C</v>
          </cell>
          <cell r="F39" t="str">
            <v xml:space="preserve">Ananda Marsya Maydina Dwi Risqita baik dalam Mengidentifikasi pecahan-pecahan senilai dengan gambar dan model konkret.  Perlu bimbingan dalam Mengukur sudut pada bangun datar dalam satuan baku dengan menggunakan busur derajat. </v>
          </cell>
        </row>
        <row r="40">
          <cell r="B40">
            <v>37</v>
          </cell>
          <cell r="C40" t="str">
            <v>MILA SARASWATI</v>
          </cell>
          <cell r="D40">
            <v>76.833333333333329</v>
          </cell>
          <cell r="E40" t="str">
            <v>C</v>
          </cell>
          <cell r="F40" t="str">
            <v xml:space="preserve">Ananda Mila Saraswati baik dalam Mengidentifikasi pecahan-pecahan senilai dengan gambar dan model konkret.  Perlu bimbingan dalam Mengukur sudut pada bangun datar dalam satuan baku dengan menggunakan busur derajat. </v>
          </cell>
        </row>
        <row r="41">
          <cell r="B41">
            <v>38</v>
          </cell>
          <cell r="C41" t="str">
            <v>MUHAMMAD ARKAN ALLY RACHMAD</v>
          </cell>
          <cell r="D41">
            <v>76.833333333333329</v>
          </cell>
          <cell r="E41" t="str">
            <v>C</v>
          </cell>
          <cell r="F41" t="str">
            <v xml:space="preserve">Ananda Muhammad Arkan Ally Rachmad baik dalam Mengidentifikasi pecahan-pecahan senilai dengan gambar dan model konkret.  Perlu bimbingan dalam Mengukur sudut pada bangun datar dalam satuan baku dengan menggunakan busur derajat. </v>
          </cell>
        </row>
        <row r="42">
          <cell r="B42">
            <v>39</v>
          </cell>
          <cell r="C42" t="str">
            <v>MUHAMMAD REVIAN ABDULLOH FAQIH</v>
          </cell>
          <cell r="D42">
            <v>76.833333333333329</v>
          </cell>
          <cell r="E42" t="str">
            <v>C</v>
          </cell>
          <cell r="F42" t="str">
            <v xml:space="preserve">Ananda Muhammad Revian Abdulloh Faqih baik dalam Mengidentifikasi pecahan-pecahan senilai dengan gambar dan model konkret.  Perlu bimbingan dalam Mengukur sudut pada bangun datar dalam satuan baku dengan menggunakan busur derajat. </v>
          </cell>
        </row>
        <row r="43">
          <cell r="B43">
            <v>40</v>
          </cell>
          <cell r="C43" t="str">
            <v>NABILA AYUNINGTIAS</v>
          </cell>
          <cell r="D43">
            <v>76.833333333333329</v>
          </cell>
          <cell r="E43" t="str">
            <v>C</v>
          </cell>
          <cell r="F43" t="str">
            <v xml:space="preserve">Ananda Nabila Ayuningtias baik dalam Mengidentifikasi pecahan-pecahan senilai dengan gambar dan model konkret.  Perlu bimbingan dalam Mengukur sudut pada bangun datar dalam satuan baku dengan menggunakan busur derajat. </v>
          </cell>
        </row>
        <row r="44">
          <cell r="B44">
            <v>41</v>
          </cell>
          <cell r="C44" t="str">
            <v>NARESWARI MASAYU PUSPANINGRUM</v>
          </cell>
          <cell r="D44">
            <v>76.833333333333329</v>
          </cell>
          <cell r="E44" t="str">
            <v>C</v>
          </cell>
          <cell r="F44" t="str">
            <v xml:space="preserve">Ananda Nareswari Masayu Puspaningrum baik dalam Mengidentifikasi pecahan-pecahan senilai dengan gambar dan model konkret.  Perlu bimbingan dalam Mengukur sudut pada bangun datar dalam satuan baku dengan menggunakan busur derajat. </v>
          </cell>
        </row>
        <row r="45">
          <cell r="B45">
            <v>42</v>
          </cell>
          <cell r="C45" t="str">
            <v>NOVA SASMYTA</v>
          </cell>
          <cell r="D45">
            <v>76.833333333333329</v>
          </cell>
          <cell r="E45" t="str">
            <v>C</v>
          </cell>
          <cell r="F45" t="str">
            <v xml:space="preserve">Ananda Nova Sasmyta baik dalam Mengidentifikasi pecahan-pecahan senilai dengan gambar dan model konkret.  Perlu bimbingan dalam Mengukur sudut pada bangun datar dalam satuan baku dengan menggunakan busur derajat. </v>
          </cell>
        </row>
        <row r="46">
          <cell r="B46">
            <v>43</v>
          </cell>
          <cell r="C46" t="str">
            <v>RIDHA RAHMATUL AULA RIDWAN</v>
          </cell>
          <cell r="D46">
            <v>76.833333333333329</v>
          </cell>
          <cell r="E46" t="str">
            <v>C</v>
          </cell>
          <cell r="F46" t="str">
            <v xml:space="preserve">Ananda Ridha Rahmatul Aula Ridwan baik dalam Mengidentifikasi pecahan-pecahan senilai dengan gambar dan model konkret.  Perlu bimbingan dalam Mengukur sudut pada bangun datar dalam satuan baku dengan menggunakan busur derajat. </v>
          </cell>
        </row>
        <row r="47">
          <cell r="B47">
            <v>44</v>
          </cell>
          <cell r="C47" t="str">
            <v>RIFDA SALSABILA PURNAMA</v>
          </cell>
          <cell r="D47">
            <v>76.833333333333329</v>
          </cell>
          <cell r="E47" t="str">
            <v>C</v>
          </cell>
          <cell r="F47" t="str">
            <v xml:space="preserve">Ananda Rifda Salsabila Purnama baik dalam Mengidentifikasi pecahan-pecahan senilai dengan gambar dan model konkret.  Perlu bimbingan dalam Mengukur sudut pada bangun datar dalam satuan baku dengan menggunakan busur derajat. </v>
          </cell>
        </row>
        <row r="48">
          <cell r="B48">
            <v>45</v>
          </cell>
          <cell r="C48" t="str">
            <v>RIZKI INTAN KURNIAENDAH</v>
          </cell>
          <cell r="D48">
            <v>76.833333333333329</v>
          </cell>
          <cell r="E48" t="str">
            <v>C</v>
          </cell>
          <cell r="F48" t="str">
            <v xml:space="preserve">Ananda Rizki Intan Kurniaendah baik dalam Mengidentifikasi pecahan-pecahan senilai dengan gambar dan model konkret.  Perlu bimbingan dalam Mengukur sudut pada bangun datar dalam satuan baku dengan menggunakan busur derajat. </v>
          </cell>
        </row>
        <row r="49">
          <cell r="B49">
            <v>46</v>
          </cell>
          <cell r="C49" t="str">
            <v>RIZKY FIRMANSYAH</v>
          </cell>
          <cell r="D49">
            <v>76.833333333333329</v>
          </cell>
          <cell r="E49" t="str">
            <v>C</v>
          </cell>
          <cell r="F49" t="str">
            <v xml:space="preserve">Ananda Rizky Firmansyah baik dalam Mengidentifikasi pecahan-pecahan senilai dengan gambar dan model konkret.  Perlu bimbingan dalam Mengukur sudut pada bangun datar dalam satuan baku dengan menggunakan busur derajat. </v>
          </cell>
        </row>
        <row r="50">
          <cell r="B50">
            <v>47</v>
          </cell>
          <cell r="C50" t="str">
            <v>SAFIRA NUR LAYLA RAMADHANI</v>
          </cell>
          <cell r="D50">
            <v>76.833333333333329</v>
          </cell>
          <cell r="E50" t="str">
            <v>C</v>
          </cell>
          <cell r="F50" t="str">
            <v xml:space="preserve">Ananda Safira Nur Layla Ramadhani baik dalam Mengidentifikasi pecahan-pecahan senilai dengan gambar dan model konkret.  Perlu bimbingan dalam Mengukur sudut pada bangun datar dalam satuan baku dengan menggunakan busur derajat. </v>
          </cell>
        </row>
        <row r="51">
          <cell r="B51">
            <v>48</v>
          </cell>
          <cell r="C51" t="str">
            <v>SHANASTRI RUFAIDA</v>
          </cell>
          <cell r="D51">
            <v>76.833333333333329</v>
          </cell>
          <cell r="E51" t="str">
            <v>C</v>
          </cell>
          <cell r="F51" t="str">
            <v xml:space="preserve">Ananda Shanastri Rufaida baik dalam Mengidentifikasi pecahan-pecahan senilai dengan gambar dan model konkret.  Perlu bimbingan dalam Mengukur sudut pada bangun datar dalam satuan baku dengan menggunakan busur derajat. </v>
          </cell>
        </row>
        <row r="52">
          <cell r="B52">
            <v>49</v>
          </cell>
          <cell r="C52" t="str">
            <v>SHIAM SAHARA</v>
          </cell>
          <cell r="D52">
            <v>76.833333333333329</v>
          </cell>
          <cell r="E52" t="str">
            <v>C</v>
          </cell>
          <cell r="F52" t="str">
            <v xml:space="preserve">Ananda Shiam Sahara baik dalam Mengidentifikasi pecahan-pecahan senilai dengan gambar dan model konkret.  Perlu bimbingan dalam Mengukur sudut pada bangun datar dalam satuan baku dengan menggunakan busur derajat. </v>
          </cell>
        </row>
        <row r="53">
          <cell r="B53">
            <v>50</v>
          </cell>
          <cell r="C53" t="str">
            <v>SUSAN APRILIA PUTRI</v>
          </cell>
          <cell r="D53">
            <v>76.833333333333329</v>
          </cell>
          <cell r="E53" t="str">
            <v>C</v>
          </cell>
          <cell r="F53" t="str">
            <v xml:space="preserve">Ananda Susan Aprilia Putri baik dalam Mengidentifikasi pecahan-pecahan senilai dengan gambar dan model konkret.  Perlu bimbingan dalam Mengukur sudut pada bangun datar dalam satuan baku dengan menggunakan busur derajat. </v>
          </cell>
        </row>
      </sheetData>
      <sheetData sheetId="51"/>
      <sheetData sheetId="52"/>
      <sheetData sheetId="53">
        <row r="4">
          <cell r="B4">
            <v>1</v>
          </cell>
          <cell r="C4" t="str">
            <v>AZKA AFINA KHOIRUL IZA</v>
          </cell>
          <cell r="D4">
            <v>76.833333333333329</v>
          </cell>
          <cell r="E4" t="str">
            <v>C</v>
          </cell>
          <cell r="F4" t="str">
            <v xml:space="preserve">Ananda Azka Afina Khoirul Iza baik dalam membaca Q.S. al-Falaq dan Q.S al-Fīl dengan tartil.  Perlu bimbingan dalam mencontohkan perilaku amanah dalam kehidupan sehari-hari. </v>
          </cell>
        </row>
        <row r="5">
          <cell r="B5">
            <v>2</v>
          </cell>
          <cell r="C5" t="str">
            <v>BAGUS WIDA KANAKA</v>
          </cell>
          <cell r="D5">
            <v>76.833333333333329</v>
          </cell>
          <cell r="E5" t="str">
            <v>C</v>
          </cell>
          <cell r="F5" t="str">
            <v xml:space="preserve">Ananda Bagus Wida Kanaka baik dalam membaca Q.S. al-Falaq dan Q.S al-Fīl dengan tartil.  Perlu bimbingan dalam mencontohkan perilaku amanah dalam kehidupan sehari-hari. </v>
          </cell>
        </row>
        <row r="6">
          <cell r="B6">
            <v>3</v>
          </cell>
          <cell r="C6" t="str">
            <v>DENI FIRYA ATHALLAH PRADINAYA</v>
          </cell>
          <cell r="D6">
            <v>76.833333333333329</v>
          </cell>
          <cell r="E6" t="str">
            <v>C</v>
          </cell>
          <cell r="F6" t="str">
            <v xml:space="preserve">Ananda Deni Firya Athallah Pradinaya baik dalam membaca Q.S. al-Falaq dan Q.S al-Fīl dengan tartil.  Perlu bimbingan dalam mencontohkan perilaku amanah dalam kehidupan sehari-hari. </v>
          </cell>
        </row>
        <row r="7">
          <cell r="B7">
            <v>4</v>
          </cell>
          <cell r="C7" t="str">
            <v>DEWI GALUH MULANSARI</v>
          </cell>
          <cell r="D7">
            <v>76.833333333333329</v>
          </cell>
          <cell r="E7" t="str">
            <v>C</v>
          </cell>
          <cell r="F7" t="str">
            <v xml:space="preserve">Ananda Dewi Galuh Mulansari baik dalam membaca Q.S. al-Falaq dan Q.S al-Fīl dengan tartil.  Perlu bimbingan dalam mencontohkan perilaku amanah dalam kehidupan sehari-hari. </v>
          </cell>
        </row>
        <row r="8">
          <cell r="B8">
            <v>5</v>
          </cell>
          <cell r="C8" t="str">
            <v>DIAN PUJI LESTARI</v>
          </cell>
          <cell r="D8">
            <v>76.833333333333329</v>
          </cell>
          <cell r="E8" t="str">
            <v>C</v>
          </cell>
          <cell r="F8" t="str">
            <v xml:space="preserve">Ananda Dian Puji Lestari baik dalam membaca Q.S. al-Falaq dan Q.S al-Fīl dengan tartil.  Perlu bimbingan dalam mencontohkan perilaku amanah dalam kehidupan sehari-hari. </v>
          </cell>
        </row>
        <row r="9">
          <cell r="B9">
            <v>6</v>
          </cell>
          <cell r="C9" t="str">
            <v>Hafidz Langgeng Prasetyo</v>
          </cell>
          <cell r="D9">
            <v>76.833333333333329</v>
          </cell>
          <cell r="E9" t="str">
            <v>C</v>
          </cell>
          <cell r="F9" t="str">
            <v xml:space="preserve">Ananda Hafidz Langgeng Prasetyo baik dalam membaca Q.S. al-Falaq dan Q.S al-Fīl dengan tartil.  Perlu bimbingan dalam mencontohkan perilaku amanah dalam kehidupan sehari-hari. </v>
          </cell>
        </row>
        <row r="10">
          <cell r="B10">
            <v>7</v>
          </cell>
          <cell r="C10" t="str">
            <v>JALU ARTHA AJI MANGGALA HANDOKO</v>
          </cell>
          <cell r="D10">
            <v>76.833333333333329</v>
          </cell>
          <cell r="E10" t="str">
            <v>C</v>
          </cell>
          <cell r="F10" t="str">
            <v xml:space="preserve">Ananda Jalu Artha Aji Manggala Handoko baik dalam membaca Q.S. al-Falaq dan Q.S al-Fīl dengan tartil.  Perlu bimbingan dalam mencontohkan perilaku amanah dalam kehidupan sehari-hari. </v>
          </cell>
        </row>
        <row r="11">
          <cell r="B11">
            <v>8</v>
          </cell>
          <cell r="C11" t="str">
            <v>LAURENDHO RADIEFCA MURDIONO</v>
          </cell>
          <cell r="D11">
            <v>76.833333333333329</v>
          </cell>
          <cell r="E11" t="str">
            <v>C</v>
          </cell>
          <cell r="F11" t="str">
            <v xml:space="preserve">Ananda Laurendho Radiefca Murdiono baik dalam membaca Q.S. al-Falaq dan Q.S al-Fīl dengan tartil.  Perlu bimbingan dalam mencontohkan perilaku amanah dalam kehidupan sehari-hari. </v>
          </cell>
        </row>
        <row r="12">
          <cell r="B12">
            <v>9</v>
          </cell>
          <cell r="C12" t="str">
            <v>MARSYA MAYDINA DWI RISQITA</v>
          </cell>
          <cell r="D12">
            <v>76.833333333333329</v>
          </cell>
          <cell r="E12" t="str">
            <v>C</v>
          </cell>
          <cell r="F12" t="str">
            <v xml:space="preserve">Ananda Marsya Maydina Dwi Risqita baik dalam membaca Q.S. al-Falaq dan Q.S al-Fīl dengan tartil.  Perlu bimbingan dalam mencontohkan perilaku amanah dalam kehidupan sehari-hari. </v>
          </cell>
        </row>
        <row r="13">
          <cell r="B13">
            <v>10</v>
          </cell>
          <cell r="C13" t="str">
            <v>MILA SARASWATI</v>
          </cell>
          <cell r="D13">
            <v>76.833333333333329</v>
          </cell>
          <cell r="E13" t="str">
            <v>C</v>
          </cell>
          <cell r="F13" t="str">
            <v xml:space="preserve">Ananda Mila Saraswati baik dalam membaca Q.S. al-Falaq dan Q.S al-Fīl dengan tartil.  Perlu bimbingan dalam mencontohkan perilaku amanah dalam kehidupan sehari-hari. </v>
          </cell>
        </row>
        <row r="14">
          <cell r="B14">
            <v>11</v>
          </cell>
          <cell r="C14" t="str">
            <v>MUHAMMAD ARKAN ALLY RACHMAD</v>
          </cell>
          <cell r="D14">
            <v>76.833333333333329</v>
          </cell>
          <cell r="E14" t="str">
            <v>C</v>
          </cell>
          <cell r="F14" t="str">
            <v xml:space="preserve">Ananda Muhammad Arkan Ally Rachmad baik dalam membaca Q.S. al-Falaq dan Q.S al-Fīl dengan tartil.  Perlu bimbingan dalam mencontohkan perilaku amanah dalam kehidupan sehari-hari. </v>
          </cell>
        </row>
        <row r="15">
          <cell r="B15">
            <v>12</v>
          </cell>
          <cell r="C15" t="str">
            <v>MUHAMMAD REVIAN ABDULLOH FAQIH</v>
          </cell>
          <cell r="D15">
            <v>76.833333333333329</v>
          </cell>
          <cell r="E15" t="str">
            <v>C</v>
          </cell>
          <cell r="F15" t="str">
            <v xml:space="preserve">Ananda Muhammad Revian Abdulloh Faqih baik dalam membaca Q.S. al-Falaq dan Q.S al-Fīl dengan tartil.  Perlu bimbingan dalam mencontohkan perilaku amanah dalam kehidupan sehari-hari. </v>
          </cell>
        </row>
        <row r="16">
          <cell r="B16">
            <v>13</v>
          </cell>
          <cell r="C16" t="str">
            <v>NABILA AYUNINGTIAS</v>
          </cell>
          <cell r="D16">
            <v>76.833333333333329</v>
          </cell>
          <cell r="E16" t="str">
            <v>C</v>
          </cell>
          <cell r="F16" t="str">
            <v xml:space="preserve">Ananda Nabila Ayuningtias baik dalam membaca Q.S. al-Falaq dan Q.S al-Fīl dengan tartil.  Perlu bimbingan dalam mencontohkan perilaku amanah dalam kehidupan sehari-hari. </v>
          </cell>
        </row>
        <row r="17">
          <cell r="B17">
            <v>14</v>
          </cell>
          <cell r="C17" t="str">
            <v>NARESWARI MASAYU PUSPANINGRUM</v>
          </cell>
          <cell r="D17">
            <v>76.833333333333329</v>
          </cell>
          <cell r="E17" t="str">
            <v>C</v>
          </cell>
          <cell r="F17" t="str">
            <v xml:space="preserve">Ananda Nareswari Masayu Puspaningrum baik dalam membaca Q.S. al-Falaq dan Q.S al-Fīl dengan tartil.  Perlu bimbingan dalam mencontohkan perilaku amanah dalam kehidupan sehari-hari. </v>
          </cell>
        </row>
        <row r="18">
          <cell r="B18">
            <v>15</v>
          </cell>
          <cell r="C18" t="str">
            <v>NOVA SASMYTA</v>
          </cell>
          <cell r="D18">
            <v>76.833333333333329</v>
          </cell>
          <cell r="E18" t="str">
            <v>C</v>
          </cell>
          <cell r="F18" t="str">
            <v xml:space="preserve">Ananda Nova Sasmyta baik dalam membaca Q.S. al-Falaq dan Q.S al-Fīl dengan tartil.  Perlu bimbingan dalam mencontohkan perilaku amanah dalam kehidupan sehari-hari. </v>
          </cell>
        </row>
        <row r="19">
          <cell r="B19">
            <v>16</v>
          </cell>
          <cell r="C19" t="str">
            <v>RIDHA RAHMATUL AULA RIDWAN</v>
          </cell>
          <cell r="D19">
            <v>76.833333333333329</v>
          </cell>
          <cell r="E19" t="str">
            <v>C</v>
          </cell>
          <cell r="F19" t="str">
            <v xml:space="preserve">Ananda Ridha Rahmatul Aula Ridwan baik dalam membaca Q.S. al-Falaq dan Q.S al-Fīl dengan tartil.  Perlu bimbingan dalam mencontohkan perilaku amanah dalam kehidupan sehari-hari. </v>
          </cell>
        </row>
        <row r="20">
          <cell r="B20">
            <v>17</v>
          </cell>
          <cell r="C20" t="str">
            <v>RIFDA SALSABILA PURNAMA</v>
          </cell>
          <cell r="D20">
            <v>76.833333333333329</v>
          </cell>
          <cell r="E20" t="str">
            <v>C</v>
          </cell>
          <cell r="F20" t="str">
            <v xml:space="preserve">Ananda Rifda Salsabila Purnama baik dalam membaca Q.S. al-Falaq dan Q.S al-Fīl dengan tartil.  Perlu bimbingan dalam mencontohkan perilaku amanah dalam kehidupan sehari-hari. </v>
          </cell>
        </row>
        <row r="21">
          <cell r="B21">
            <v>18</v>
          </cell>
          <cell r="C21" t="str">
            <v>RIZKI INTAN KURNIAENDAH</v>
          </cell>
          <cell r="D21">
            <v>76.833333333333329</v>
          </cell>
          <cell r="E21" t="str">
            <v>C</v>
          </cell>
          <cell r="F21" t="str">
            <v xml:space="preserve">Ananda Rizki Intan Kurniaendah baik dalam membaca Q.S. al-Falaq dan Q.S al-Fīl dengan tartil.  Perlu bimbingan dalam mencontohkan perilaku amanah dalam kehidupan sehari-hari. </v>
          </cell>
        </row>
        <row r="22">
          <cell r="B22">
            <v>19</v>
          </cell>
          <cell r="C22" t="str">
            <v>RIZKY FIRMANSYAH</v>
          </cell>
          <cell r="D22">
            <v>76.833333333333329</v>
          </cell>
          <cell r="E22" t="str">
            <v>C</v>
          </cell>
          <cell r="F22" t="str">
            <v xml:space="preserve">Ananda Rizky Firmansyah baik dalam membaca Q.S. al-Falaq dan Q.S al-Fīl dengan tartil.  Perlu bimbingan dalam mencontohkan perilaku amanah dalam kehidupan sehari-hari. </v>
          </cell>
        </row>
        <row r="23">
          <cell r="B23">
            <v>20</v>
          </cell>
          <cell r="C23" t="str">
            <v>SAFIRA NUR LAYLA RAMADHANI</v>
          </cell>
          <cell r="D23">
            <v>76.833333333333329</v>
          </cell>
          <cell r="E23" t="str">
            <v>C</v>
          </cell>
          <cell r="F23" t="str">
            <v xml:space="preserve">Ananda Safira Nur Layla Ramadhani baik dalam membaca Q.S. al-Falaq dan Q.S al-Fīl dengan tartil.  Perlu bimbingan dalam mencontohkan perilaku amanah dalam kehidupan sehari-hari. </v>
          </cell>
        </row>
        <row r="24">
          <cell r="B24">
            <v>21</v>
          </cell>
          <cell r="C24" t="str">
            <v>SHANASTRI RUFAIDA</v>
          </cell>
          <cell r="D24">
            <v>76.833333333333329</v>
          </cell>
          <cell r="E24" t="str">
            <v>C</v>
          </cell>
          <cell r="F24" t="str">
            <v xml:space="preserve">Ananda Shanastri Rufaida baik dalam membaca Q.S. al-Falaq dan Q.S al-Fīl dengan tartil.  Perlu bimbingan dalam mencontohkan perilaku amanah dalam kehidupan sehari-hari. </v>
          </cell>
        </row>
        <row r="25">
          <cell r="B25">
            <v>22</v>
          </cell>
          <cell r="C25" t="str">
            <v>SHIAM SAHARA</v>
          </cell>
          <cell r="D25">
            <v>76.833333333333329</v>
          </cell>
          <cell r="E25" t="str">
            <v>C</v>
          </cell>
          <cell r="F25" t="str">
            <v xml:space="preserve">Ananda Shiam Sahara baik dalam membaca Q.S. al-Falaq dan Q.S al-Fīl dengan tartil.  Perlu bimbingan dalam mencontohkan perilaku amanah dalam kehidupan sehari-hari. </v>
          </cell>
        </row>
        <row r="26">
          <cell r="B26">
            <v>23</v>
          </cell>
          <cell r="C26" t="str">
            <v>SUSAN APRILIA PUTRI</v>
          </cell>
          <cell r="D26">
            <v>76.833333333333329</v>
          </cell>
          <cell r="E26" t="str">
            <v>C</v>
          </cell>
          <cell r="F26" t="str">
            <v xml:space="preserve">Ananda Susan Aprilia Putri baik dalam membaca Q.S. al-Falaq dan Q.S al-Fīl dengan tartil.  Perlu bimbingan dalam mencontohkan perilaku amanah dalam kehidupan sehari-hari. </v>
          </cell>
        </row>
        <row r="27">
          <cell r="B27">
            <v>24</v>
          </cell>
          <cell r="C27" t="str">
            <v>SYIFAUL CHUSNA BANATU ROHMI HADI</v>
          </cell>
          <cell r="D27">
            <v>76.833333333333329</v>
          </cell>
          <cell r="E27" t="str">
            <v>C</v>
          </cell>
          <cell r="F27" t="str">
            <v xml:space="preserve">Ananda Syifaul Chusna Banatu Rohmi Hadi baik dalam membaca Q.S. al-Falaq dan Q.S al-Fīl dengan tartil.  Perlu bimbingan dalam mencontohkan perilaku amanah dalam kehidupan sehari-hari. </v>
          </cell>
        </row>
        <row r="28">
          <cell r="B28">
            <v>25</v>
          </cell>
          <cell r="C28" t="str">
            <v>VANESSA VICKY AYU LESTARI</v>
          </cell>
          <cell r="D28">
            <v>76.833333333333329</v>
          </cell>
          <cell r="E28" t="str">
            <v>C</v>
          </cell>
          <cell r="F28" t="str">
            <v xml:space="preserve">Ananda Vanessa Vicky Ayu Lestari baik dalam membaca Q.S. al-Falaq dan Q.S al-Fīl dengan tartil.  Perlu bimbingan dalam mencontohkan perilaku amanah dalam kehidupan sehari-hari. </v>
          </cell>
        </row>
        <row r="29">
          <cell r="B29">
            <v>26</v>
          </cell>
          <cell r="C29" t="str">
            <v>WIBI NUR FIRMANSYAH</v>
          </cell>
          <cell r="D29">
            <v>76.833333333333329</v>
          </cell>
          <cell r="E29" t="str">
            <v>C</v>
          </cell>
          <cell r="F29" t="str">
            <v xml:space="preserve">Ananda Wibi Nur Firmansyah baik dalam membaca Q.S. al-Falaq dan Q.S al-Fīl dengan tartil.  Perlu bimbingan dalam mencontohkan perilaku amanah dalam kehidupan sehari-hari. </v>
          </cell>
        </row>
        <row r="30">
          <cell r="B30">
            <v>27</v>
          </cell>
          <cell r="C30" t="str">
            <v>ZULFIDA NURUL MAZIDAH</v>
          </cell>
          <cell r="D30">
            <v>76.833333333333329</v>
          </cell>
          <cell r="E30" t="str">
            <v>C</v>
          </cell>
          <cell r="F30" t="str">
            <v xml:space="preserve">Ananda Zulfida Nurul Mazidah baik dalam membaca Q.S. al-Falaq dan Q.S al-Fīl dengan tartil.  Perlu bimbingan dalam mencontohkan perilaku amanah dalam kehidupan sehari-hari. </v>
          </cell>
        </row>
        <row r="31">
          <cell r="B31">
            <v>28</v>
          </cell>
          <cell r="C31" t="str">
            <v>AZKA AFINA KHOIRUL IZA</v>
          </cell>
          <cell r="D31">
            <v>76.833333333333329</v>
          </cell>
          <cell r="E31" t="str">
            <v>C</v>
          </cell>
          <cell r="F31" t="str">
            <v xml:space="preserve">Ananda Azka Afina Khoirul Iza baik dalam membaca Q.S. al-Falaq dan Q.S al-Fīl dengan tartil.  Perlu bimbingan dalam mencontohkan perilaku amanah dalam kehidupan sehari-hari. </v>
          </cell>
        </row>
        <row r="32">
          <cell r="B32">
            <v>29</v>
          </cell>
          <cell r="C32" t="str">
            <v>BAGUS WIDA KANAKA</v>
          </cell>
          <cell r="D32">
            <v>76.833333333333329</v>
          </cell>
          <cell r="E32" t="str">
            <v>C</v>
          </cell>
          <cell r="F32" t="str">
            <v xml:space="preserve">Ananda Bagus Wida Kanaka baik dalam membaca Q.S. al-Falaq dan Q.S al-Fīl dengan tartil.  Perlu bimbingan dalam mencontohkan perilaku amanah dalam kehidupan sehari-hari. </v>
          </cell>
        </row>
        <row r="33">
          <cell r="B33">
            <v>30</v>
          </cell>
          <cell r="C33" t="str">
            <v>DENI FIRYA ATHALLAH PRADINAYA</v>
          </cell>
          <cell r="D33">
            <v>76.833333333333329</v>
          </cell>
          <cell r="E33" t="str">
            <v>C</v>
          </cell>
          <cell r="F33" t="str">
            <v xml:space="preserve">Ananda Deni Firya Athallah Pradinaya baik dalam membaca Q.S. al-Falaq dan Q.S al-Fīl dengan tartil.  Perlu bimbingan dalam mencontohkan perilaku amanah dalam kehidupan sehari-hari. </v>
          </cell>
        </row>
        <row r="34">
          <cell r="B34">
            <v>31</v>
          </cell>
          <cell r="C34" t="str">
            <v>DEWI GALUH MULANSARI</v>
          </cell>
          <cell r="D34">
            <v>76.833333333333329</v>
          </cell>
          <cell r="E34" t="str">
            <v>C</v>
          </cell>
          <cell r="F34" t="str">
            <v xml:space="preserve">Ananda Dewi Galuh Mulansari baik dalam membaca Q.S. al-Falaq dan Q.S al-Fīl dengan tartil.  Perlu bimbingan dalam mencontohkan perilaku amanah dalam kehidupan sehari-hari. </v>
          </cell>
        </row>
        <row r="35">
          <cell r="B35">
            <v>32</v>
          </cell>
          <cell r="C35" t="str">
            <v>DIAN PUJI LESTARI</v>
          </cell>
          <cell r="D35">
            <v>76.833333333333329</v>
          </cell>
          <cell r="E35" t="str">
            <v>C</v>
          </cell>
          <cell r="F35" t="str">
            <v xml:space="preserve">Ananda Dian Puji Lestari baik dalam membaca Q.S. al-Falaq dan Q.S al-Fīl dengan tartil.  Perlu bimbingan dalam mencontohkan perilaku amanah dalam kehidupan sehari-hari. </v>
          </cell>
        </row>
        <row r="36">
          <cell r="B36">
            <v>33</v>
          </cell>
          <cell r="C36" t="str">
            <v>Hafidz Langgeng Prasetyo</v>
          </cell>
          <cell r="D36">
            <v>76.833333333333329</v>
          </cell>
          <cell r="E36" t="str">
            <v>C</v>
          </cell>
          <cell r="F36" t="str">
            <v xml:space="preserve">Ananda Hafidz Langgeng Prasetyo baik dalam membaca Q.S. al-Falaq dan Q.S al-Fīl dengan tartil.  Perlu bimbingan dalam mencontohkan perilaku amanah dalam kehidupan sehari-hari. </v>
          </cell>
        </row>
        <row r="37">
          <cell r="B37">
            <v>34</v>
          </cell>
          <cell r="C37" t="str">
            <v>JALU ARTHA AJI MANGGALA HANDOKO</v>
          </cell>
          <cell r="D37">
            <v>76.833333333333329</v>
          </cell>
          <cell r="E37" t="str">
            <v>C</v>
          </cell>
          <cell r="F37" t="str">
            <v xml:space="preserve">Ananda Jalu Artha Aji Manggala Handoko baik dalam membaca Q.S. al-Falaq dan Q.S al-Fīl dengan tartil.  Perlu bimbingan dalam mencontohkan perilaku amanah dalam kehidupan sehari-hari. </v>
          </cell>
        </row>
        <row r="38">
          <cell r="B38">
            <v>35</v>
          </cell>
          <cell r="C38" t="str">
            <v>LAURENDHO RADIEFCA MURDIONO</v>
          </cell>
          <cell r="D38">
            <v>76.833333333333329</v>
          </cell>
          <cell r="E38" t="str">
            <v>C</v>
          </cell>
          <cell r="F38" t="str">
            <v xml:space="preserve">Ananda Laurendho Radiefca Murdiono baik dalam membaca Q.S. al-Falaq dan Q.S al-Fīl dengan tartil.  Perlu bimbingan dalam mencontohkan perilaku amanah dalam kehidupan sehari-hari. </v>
          </cell>
        </row>
        <row r="39">
          <cell r="B39">
            <v>36</v>
          </cell>
          <cell r="C39" t="str">
            <v>MARSYA MAYDINA DWI RISQITA</v>
          </cell>
          <cell r="D39">
            <v>76.833333333333329</v>
          </cell>
          <cell r="E39" t="str">
            <v>C</v>
          </cell>
          <cell r="F39" t="str">
            <v xml:space="preserve">Ananda Marsya Maydina Dwi Risqita baik dalam membaca Q.S. al-Falaq dan Q.S al-Fīl dengan tartil.  Perlu bimbingan dalam mencontohkan perilaku amanah dalam kehidupan sehari-hari. </v>
          </cell>
        </row>
        <row r="40">
          <cell r="B40">
            <v>37</v>
          </cell>
          <cell r="C40" t="str">
            <v>MILA SARASWATI</v>
          </cell>
          <cell r="D40">
            <v>76.833333333333329</v>
          </cell>
          <cell r="E40" t="str">
            <v>C</v>
          </cell>
          <cell r="F40" t="str">
            <v xml:space="preserve">Ananda Mila Saraswati baik dalam membaca Q.S. al-Falaq dan Q.S al-Fīl dengan tartil.  Perlu bimbingan dalam mencontohkan perilaku amanah dalam kehidupan sehari-hari. </v>
          </cell>
        </row>
        <row r="41">
          <cell r="B41">
            <v>38</v>
          </cell>
          <cell r="C41" t="str">
            <v>MUHAMMAD ARKAN ALLY RACHMAD</v>
          </cell>
          <cell r="D41">
            <v>76.833333333333329</v>
          </cell>
          <cell r="E41" t="str">
            <v>C</v>
          </cell>
          <cell r="F41" t="str">
            <v xml:space="preserve">Ananda Muhammad Arkan Ally Rachmad baik dalam membaca Q.S. al-Falaq dan Q.S al-Fīl dengan tartil.  Perlu bimbingan dalam mencontohkan perilaku amanah dalam kehidupan sehari-hari. </v>
          </cell>
        </row>
        <row r="42">
          <cell r="B42">
            <v>39</v>
          </cell>
          <cell r="C42" t="str">
            <v>MUHAMMAD REVIAN ABDULLOH FAQIH</v>
          </cell>
          <cell r="D42">
            <v>76.833333333333329</v>
          </cell>
          <cell r="E42" t="str">
            <v>C</v>
          </cell>
          <cell r="F42" t="str">
            <v xml:space="preserve">Ananda Muhammad Revian Abdulloh Faqih baik dalam membaca Q.S. al-Falaq dan Q.S al-Fīl dengan tartil.  Perlu bimbingan dalam mencontohkan perilaku amanah dalam kehidupan sehari-hari. </v>
          </cell>
        </row>
        <row r="43">
          <cell r="B43">
            <v>40</v>
          </cell>
          <cell r="C43" t="str">
            <v>NABILA AYUNINGTIAS</v>
          </cell>
          <cell r="D43">
            <v>76.833333333333329</v>
          </cell>
          <cell r="E43" t="str">
            <v>C</v>
          </cell>
          <cell r="F43" t="str">
            <v xml:space="preserve">Ananda Nabila Ayuningtias baik dalam membaca Q.S. al-Falaq dan Q.S al-Fīl dengan tartil.  Perlu bimbingan dalam mencontohkan perilaku amanah dalam kehidupan sehari-hari. </v>
          </cell>
        </row>
        <row r="44">
          <cell r="B44">
            <v>41</v>
          </cell>
          <cell r="C44" t="str">
            <v>NARESWARI MASAYU PUSPANINGRUM</v>
          </cell>
          <cell r="D44">
            <v>76.833333333333329</v>
          </cell>
          <cell r="E44" t="str">
            <v>C</v>
          </cell>
          <cell r="F44" t="str">
            <v xml:space="preserve">Ananda Nareswari Masayu Puspaningrum baik dalam membaca Q.S. al-Falaq dan Q.S al-Fīl dengan tartil.  Perlu bimbingan dalam mencontohkan perilaku amanah dalam kehidupan sehari-hari. </v>
          </cell>
        </row>
        <row r="45">
          <cell r="B45">
            <v>42</v>
          </cell>
          <cell r="C45" t="str">
            <v>NOVA SASMYTA</v>
          </cell>
          <cell r="D45">
            <v>76.833333333333329</v>
          </cell>
          <cell r="E45" t="str">
            <v>C</v>
          </cell>
          <cell r="F45" t="str">
            <v xml:space="preserve">Ananda Nova Sasmyta baik dalam membaca Q.S. al-Falaq dan Q.S al-Fīl dengan tartil.  Perlu bimbingan dalam mencontohkan perilaku amanah dalam kehidupan sehari-hari. </v>
          </cell>
        </row>
        <row r="46">
          <cell r="B46">
            <v>43</v>
          </cell>
          <cell r="C46" t="str">
            <v>RIDHA RAHMATUL AULA RIDWAN</v>
          </cell>
          <cell r="D46">
            <v>76.833333333333329</v>
          </cell>
          <cell r="E46" t="str">
            <v>C</v>
          </cell>
          <cell r="F46" t="str">
            <v xml:space="preserve">Ananda Ridha Rahmatul Aula Ridwan baik dalam membaca Q.S. al-Falaq dan Q.S al-Fīl dengan tartil.  Perlu bimbingan dalam mencontohkan perilaku amanah dalam kehidupan sehari-hari. </v>
          </cell>
        </row>
        <row r="47">
          <cell r="B47">
            <v>44</v>
          </cell>
          <cell r="C47" t="str">
            <v>RIFDA SALSABILA PURNAMA</v>
          </cell>
          <cell r="D47">
            <v>76.833333333333329</v>
          </cell>
          <cell r="E47" t="str">
            <v>C</v>
          </cell>
          <cell r="F47" t="str">
            <v xml:space="preserve">Ananda Rifda Salsabila Purnama baik dalam membaca Q.S. al-Falaq dan Q.S al-Fīl dengan tartil.  Perlu bimbingan dalam mencontohkan perilaku amanah dalam kehidupan sehari-hari. </v>
          </cell>
        </row>
        <row r="48">
          <cell r="B48">
            <v>45</v>
          </cell>
          <cell r="C48" t="str">
            <v>RIZKI INTAN KURNIAENDAH</v>
          </cell>
          <cell r="D48">
            <v>76.833333333333329</v>
          </cell>
          <cell r="E48" t="str">
            <v>C</v>
          </cell>
          <cell r="F48" t="str">
            <v xml:space="preserve">Ananda Rizki Intan Kurniaendah baik dalam membaca Q.S. al-Falaq dan Q.S al-Fīl dengan tartil.  Perlu bimbingan dalam mencontohkan perilaku amanah dalam kehidupan sehari-hari. </v>
          </cell>
        </row>
        <row r="49">
          <cell r="B49">
            <v>46</v>
          </cell>
          <cell r="C49" t="str">
            <v>RIZKY FIRMANSYAH</v>
          </cell>
          <cell r="D49">
            <v>76.833333333333329</v>
          </cell>
          <cell r="E49" t="str">
            <v>C</v>
          </cell>
          <cell r="F49" t="str">
            <v xml:space="preserve">Ananda Rizky Firmansyah baik dalam membaca Q.S. al-Falaq dan Q.S al-Fīl dengan tartil.  Perlu bimbingan dalam mencontohkan perilaku amanah dalam kehidupan sehari-hari. </v>
          </cell>
        </row>
        <row r="50">
          <cell r="B50">
            <v>47</v>
          </cell>
          <cell r="C50" t="str">
            <v>SAFIRA NUR LAYLA RAMADHANI</v>
          </cell>
          <cell r="D50">
            <v>76.833333333333329</v>
          </cell>
          <cell r="E50" t="str">
            <v>C</v>
          </cell>
          <cell r="F50" t="str">
            <v xml:space="preserve">Ananda Safira Nur Layla Ramadhani baik dalam membaca Q.S. al-Falaq dan Q.S al-Fīl dengan tartil.  Perlu bimbingan dalam mencontohkan perilaku amanah dalam kehidupan sehari-hari. </v>
          </cell>
        </row>
        <row r="51">
          <cell r="B51">
            <v>48</v>
          </cell>
          <cell r="C51" t="str">
            <v>SHANASTRI RUFAIDA</v>
          </cell>
          <cell r="D51">
            <v>76.833333333333329</v>
          </cell>
          <cell r="E51" t="str">
            <v>C</v>
          </cell>
          <cell r="F51" t="str">
            <v xml:space="preserve">Ananda Shanastri Rufaida baik dalam membaca Q.S. al-Falaq dan Q.S al-Fīl dengan tartil.  Perlu bimbingan dalam mencontohkan perilaku amanah dalam kehidupan sehari-hari. </v>
          </cell>
        </row>
        <row r="52">
          <cell r="B52">
            <v>49</v>
          </cell>
          <cell r="C52" t="str">
            <v>SHIAM SAHARA</v>
          </cell>
          <cell r="D52">
            <v>76.833333333333329</v>
          </cell>
          <cell r="E52" t="str">
            <v>C</v>
          </cell>
          <cell r="F52" t="str">
            <v xml:space="preserve">Ananda Shiam Sahara baik dalam membaca Q.S. al-Falaq dan Q.S al-Fīl dengan tartil.  Perlu bimbingan dalam mencontohkan perilaku amanah dalam kehidupan sehari-hari. </v>
          </cell>
        </row>
        <row r="53">
          <cell r="B53">
            <v>50</v>
          </cell>
          <cell r="C53" t="str">
            <v>SUSAN APRILIA PUTRI</v>
          </cell>
          <cell r="D53">
            <v>76.833333333333329</v>
          </cell>
          <cell r="E53" t="str">
            <v>C</v>
          </cell>
          <cell r="F53" t="str">
            <v xml:space="preserve">Ananda Susan Aprilia Putri baik dalam membaca Q.S. al-Falaq dan Q.S al-Fīl dengan tartil.  Perlu bimbingan dalam mencontohkan perilaku amanah dalam kehidupan sehari-hari. </v>
          </cell>
        </row>
      </sheetData>
      <sheetData sheetId="54"/>
      <sheetData sheetId="55">
        <row r="4">
          <cell r="B4">
            <v>1</v>
          </cell>
          <cell r="C4" t="str">
            <v>AZKA AFINA KHOIRUL IZA</v>
          </cell>
          <cell r="D4">
            <v>90</v>
          </cell>
          <cell r="E4" t="str">
            <v>A</v>
          </cell>
          <cell r="F4" t="str">
            <v xml:space="preserve">Ananda Azka Afina Khoirul Iza sangat baik dalam G.  Sangat baik dalam G. </v>
          </cell>
        </row>
        <row r="5">
          <cell r="B5">
            <v>2</v>
          </cell>
          <cell r="C5" t="str">
            <v>BAGUS WIDA KANAKA</v>
          </cell>
          <cell r="D5">
            <v>78.8</v>
          </cell>
          <cell r="E5" t="str">
            <v>C</v>
          </cell>
          <cell r="F5" t="str">
            <v xml:space="preserve">Ananda Bagus Wida Kanaka baik dalam G.  Cukup dalam . </v>
          </cell>
        </row>
        <row r="6">
          <cell r="B6">
            <v>3</v>
          </cell>
          <cell r="C6" t="str">
            <v>DENI FIRYA ATHALLAH PRADINAYA</v>
          </cell>
          <cell r="D6">
            <v>78.8</v>
          </cell>
          <cell r="E6" t="str">
            <v>C</v>
          </cell>
          <cell r="F6" t="str">
            <v xml:space="preserve">Ananda Deni Firya Athallah Pradinaya baik dalam G.  Cukup dalam . </v>
          </cell>
        </row>
        <row r="7">
          <cell r="B7">
            <v>4</v>
          </cell>
          <cell r="C7" t="str">
            <v>DEWI GALUH MULANSARI</v>
          </cell>
          <cell r="D7">
            <v>81.428571428571431</v>
          </cell>
          <cell r="E7" t="str">
            <v>B</v>
          </cell>
          <cell r="F7" t="str">
            <v xml:space="preserve">Ananda Dewi Galuh Mulansari baik dalam G.  Cukup dalam . </v>
          </cell>
        </row>
        <row r="8">
          <cell r="B8">
            <v>5</v>
          </cell>
          <cell r="C8" t="str">
            <v>DIAN PUJI LESTARI</v>
          </cell>
          <cell r="D8">
            <v>78.8</v>
          </cell>
          <cell r="E8" t="str">
            <v>C</v>
          </cell>
          <cell r="F8" t="str">
            <v xml:space="preserve">Ananda Dian Puji Lestari baik dalam G.  Cukup dalam . </v>
          </cell>
        </row>
        <row r="9">
          <cell r="B9">
            <v>6</v>
          </cell>
          <cell r="C9" t="str">
            <v>Hafidz Langgeng Prasetyo</v>
          </cell>
          <cell r="D9">
            <v>78.8</v>
          </cell>
          <cell r="E9" t="str">
            <v>C</v>
          </cell>
          <cell r="F9" t="str">
            <v xml:space="preserve">Ananda Hafidz Langgeng Prasetyo baik dalam G.  Cukup dalam . </v>
          </cell>
        </row>
        <row r="10">
          <cell r="B10">
            <v>7</v>
          </cell>
          <cell r="C10" t="str">
            <v>JALU ARTHA AJI MANGGALA HANDOKO</v>
          </cell>
          <cell r="D10">
            <v>78.8</v>
          </cell>
          <cell r="E10" t="str">
            <v>C</v>
          </cell>
          <cell r="F10" t="str">
            <v xml:space="preserve">Ananda Jalu Artha Aji Manggala Handoko baik dalam G.  Cukup dalam . </v>
          </cell>
        </row>
        <row r="11">
          <cell r="B11">
            <v>8</v>
          </cell>
          <cell r="C11" t="str">
            <v>LAURENDHO RADIEFCA MURDIONO</v>
          </cell>
          <cell r="D11">
            <v>78.8</v>
          </cell>
          <cell r="E11" t="str">
            <v>C</v>
          </cell>
          <cell r="F11" t="str">
            <v xml:space="preserve">Ananda Laurendho Radiefca Murdiono baik dalam G.  Cukup dalam . </v>
          </cell>
        </row>
        <row r="12">
          <cell r="B12">
            <v>9</v>
          </cell>
          <cell r="C12" t="str">
            <v>MARSYA MAYDINA DWI RISQITA</v>
          </cell>
          <cell r="D12">
            <v>78.8</v>
          </cell>
          <cell r="E12" t="str">
            <v>C</v>
          </cell>
          <cell r="F12" t="str">
            <v xml:space="preserve">Ananda Marsya Maydina Dwi Risqita baik dalam G.  Cukup dalam . </v>
          </cell>
        </row>
        <row r="13">
          <cell r="B13">
            <v>10</v>
          </cell>
          <cell r="C13" t="str">
            <v>MILA SARASWATI</v>
          </cell>
          <cell r="D13">
            <v>78.8</v>
          </cell>
          <cell r="E13" t="str">
            <v>C</v>
          </cell>
          <cell r="F13" t="str">
            <v xml:space="preserve">Ananda Mila Saraswati baik dalam G.  Cukup dalam . </v>
          </cell>
        </row>
        <row r="14">
          <cell r="B14">
            <v>11</v>
          </cell>
          <cell r="C14" t="str">
            <v>MUHAMMAD ARKAN ALLY RACHMAD</v>
          </cell>
          <cell r="D14">
            <v>78.8</v>
          </cell>
          <cell r="E14" t="str">
            <v>C</v>
          </cell>
          <cell r="F14" t="str">
            <v xml:space="preserve">Ananda Muhammad Arkan Ally Rachmad baik dalam G.  Cukup dalam . </v>
          </cell>
        </row>
        <row r="15">
          <cell r="B15">
            <v>12</v>
          </cell>
          <cell r="C15" t="str">
            <v>MUHAMMAD REVIAN ABDULLOH FAQIH</v>
          </cell>
          <cell r="D15">
            <v>78.8</v>
          </cell>
          <cell r="E15" t="str">
            <v>C</v>
          </cell>
          <cell r="F15" t="str">
            <v xml:space="preserve">Ananda Muhammad Revian Abdulloh Faqih baik dalam G.  Cukup dalam . </v>
          </cell>
        </row>
        <row r="16">
          <cell r="B16">
            <v>13</v>
          </cell>
          <cell r="C16" t="str">
            <v>NABILA AYUNINGTIAS</v>
          </cell>
          <cell r="D16">
            <v>78.8</v>
          </cell>
          <cell r="E16" t="str">
            <v>C</v>
          </cell>
          <cell r="F16" t="str">
            <v xml:space="preserve">Ananda Nabila Ayuningtias baik dalam G.  Cukup dalam . </v>
          </cell>
        </row>
        <row r="17">
          <cell r="B17">
            <v>14</v>
          </cell>
          <cell r="C17" t="str">
            <v>NARESWARI MASAYU PUSPANINGRUM</v>
          </cell>
          <cell r="D17">
            <v>78.8</v>
          </cell>
          <cell r="E17" t="str">
            <v>C</v>
          </cell>
          <cell r="F17" t="str">
            <v xml:space="preserve">Ananda Nareswari Masayu Puspaningrum baik dalam G.  Cukup dalam . </v>
          </cell>
        </row>
        <row r="18">
          <cell r="B18">
            <v>15</v>
          </cell>
          <cell r="C18" t="str">
            <v>NOVA SASMYTA</v>
          </cell>
          <cell r="D18">
            <v>78.8</v>
          </cell>
          <cell r="E18" t="str">
            <v>C</v>
          </cell>
          <cell r="F18" t="str">
            <v xml:space="preserve">Ananda Nova Sasmyta baik dalam G.  Cukup dalam . </v>
          </cell>
        </row>
        <row r="19">
          <cell r="B19">
            <v>16</v>
          </cell>
          <cell r="C19" t="str">
            <v>RIDHA RAHMATUL AULA RIDWAN</v>
          </cell>
          <cell r="D19">
            <v>78.8</v>
          </cell>
          <cell r="E19" t="str">
            <v>C</v>
          </cell>
          <cell r="F19" t="str">
            <v xml:space="preserve">Ananda Ridha Rahmatul Aula Ridwan baik dalam G.  Cukup dalam . </v>
          </cell>
        </row>
        <row r="20">
          <cell r="B20">
            <v>17</v>
          </cell>
          <cell r="C20" t="str">
            <v>RIFDA SALSABILA PURNAMA</v>
          </cell>
          <cell r="D20">
            <v>78.8</v>
          </cell>
          <cell r="E20" t="str">
            <v>C</v>
          </cell>
          <cell r="F20" t="str">
            <v xml:space="preserve">Ananda Rifda Salsabila Purnama baik dalam G.  Cukup dalam . </v>
          </cell>
        </row>
        <row r="21">
          <cell r="B21">
            <v>18</v>
          </cell>
          <cell r="C21" t="str">
            <v>RIZKI INTAN KURNIAENDAH</v>
          </cell>
          <cell r="D21">
            <v>78.8</v>
          </cell>
          <cell r="E21" t="str">
            <v>C</v>
          </cell>
          <cell r="F21" t="str">
            <v xml:space="preserve">Ananda Rizki Intan Kurniaendah baik dalam G.  Cukup dalam . </v>
          </cell>
        </row>
        <row r="22">
          <cell r="B22">
            <v>19</v>
          </cell>
          <cell r="C22" t="str">
            <v>RIZKY FIRMANSYAH</v>
          </cell>
          <cell r="D22">
            <v>78.8</v>
          </cell>
          <cell r="E22" t="str">
            <v>C</v>
          </cell>
          <cell r="F22" t="str">
            <v xml:space="preserve">Ananda Rizky Firmansyah baik dalam G.  Cukup dalam . </v>
          </cell>
        </row>
        <row r="23">
          <cell r="B23">
            <v>20</v>
          </cell>
          <cell r="C23" t="str">
            <v>SAFIRA NUR LAYLA RAMADHANI</v>
          </cell>
          <cell r="D23">
            <v>78.8</v>
          </cell>
          <cell r="E23" t="str">
            <v>C</v>
          </cell>
          <cell r="F23" t="str">
            <v xml:space="preserve">Ananda Safira Nur Layla Ramadhani baik dalam G.  Cukup dalam . </v>
          </cell>
        </row>
        <row r="24">
          <cell r="B24">
            <v>21</v>
          </cell>
          <cell r="C24" t="str">
            <v>SHANASTRI RUFAIDA</v>
          </cell>
          <cell r="D24">
            <v>78.8</v>
          </cell>
          <cell r="E24" t="str">
            <v>C</v>
          </cell>
          <cell r="F24" t="str">
            <v xml:space="preserve">Ananda Shanastri Rufaida baik dalam G.  Cukup dalam . </v>
          </cell>
        </row>
        <row r="25">
          <cell r="B25">
            <v>22</v>
          </cell>
          <cell r="C25" t="str">
            <v>SHIAM SAHARA</v>
          </cell>
          <cell r="D25">
            <v>78.8</v>
          </cell>
          <cell r="E25" t="str">
            <v>C</v>
          </cell>
          <cell r="F25" t="str">
            <v xml:space="preserve">Ananda Shiam Sahara baik dalam G.  Cukup dalam . </v>
          </cell>
        </row>
        <row r="26">
          <cell r="B26">
            <v>23</v>
          </cell>
          <cell r="C26" t="str">
            <v>SUSAN APRILIA PUTRI</v>
          </cell>
          <cell r="D26">
            <v>78.8</v>
          </cell>
          <cell r="E26" t="str">
            <v>C</v>
          </cell>
          <cell r="F26" t="str">
            <v xml:space="preserve">Ananda Susan Aprilia Putri baik dalam G.  Cukup dalam . </v>
          </cell>
        </row>
        <row r="27">
          <cell r="B27">
            <v>24</v>
          </cell>
          <cell r="C27" t="str">
            <v>SYIFAUL CHUSNA BANATU ROHMI HADI</v>
          </cell>
          <cell r="D27">
            <v>78.8</v>
          </cell>
          <cell r="E27" t="str">
            <v>C</v>
          </cell>
          <cell r="F27" t="str">
            <v xml:space="preserve">Ananda Syifaul Chusna Banatu Rohmi Hadi baik dalam G.  Cukup dalam . </v>
          </cell>
        </row>
        <row r="28">
          <cell r="B28">
            <v>25</v>
          </cell>
          <cell r="C28" t="str">
            <v>VANESSA VICKY AYU LESTARI</v>
          </cell>
          <cell r="D28">
            <v>78.8</v>
          </cell>
          <cell r="E28" t="str">
            <v>C</v>
          </cell>
          <cell r="F28" t="str">
            <v xml:space="preserve">Ananda Vanessa Vicky Ayu Lestari baik dalam G.  Cukup dalam . </v>
          </cell>
        </row>
        <row r="29">
          <cell r="B29">
            <v>26</v>
          </cell>
          <cell r="C29" t="str">
            <v>WIBI NUR FIRMANSYAH</v>
          </cell>
          <cell r="D29">
            <v>78.8</v>
          </cell>
          <cell r="E29" t="str">
            <v>C</v>
          </cell>
          <cell r="F29" t="str">
            <v xml:space="preserve">Ananda Wibi Nur Firmansyah baik dalam G.  Cukup dalam . </v>
          </cell>
        </row>
        <row r="30">
          <cell r="B30">
            <v>27</v>
          </cell>
          <cell r="C30" t="str">
            <v>ZULFIDA NURUL MAZIDAH</v>
          </cell>
          <cell r="D30">
            <v>78.8</v>
          </cell>
          <cell r="E30" t="str">
            <v>C</v>
          </cell>
          <cell r="F30" t="str">
            <v xml:space="preserve">Ananda Zulfida Nurul Mazidah baik dalam G.  Cukup dalam . </v>
          </cell>
        </row>
        <row r="31">
          <cell r="B31">
            <v>28</v>
          </cell>
          <cell r="C31" t="str">
            <v>AZKA AFINA KHOIRUL IZA</v>
          </cell>
          <cell r="D31">
            <v>78.8</v>
          </cell>
          <cell r="E31" t="str">
            <v>C</v>
          </cell>
          <cell r="F31" t="str">
            <v xml:space="preserve">Ananda Azka Afina Khoirul Iza baik dalam G.  Cukup dalam . </v>
          </cell>
        </row>
        <row r="32">
          <cell r="B32">
            <v>29</v>
          </cell>
          <cell r="C32" t="str">
            <v>BAGUS WIDA KANAKA</v>
          </cell>
          <cell r="D32">
            <v>78.8</v>
          </cell>
          <cell r="E32" t="str">
            <v>C</v>
          </cell>
          <cell r="F32" t="str">
            <v xml:space="preserve">Ananda Bagus Wida Kanaka baik dalam G.  Cukup dalam . </v>
          </cell>
        </row>
        <row r="33">
          <cell r="B33">
            <v>30</v>
          </cell>
          <cell r="C33" t="str">
            <v>DENI FIRYA ATHALLAH PRADINAYA</v>
          </cell>
          <cell r="D33">
            <v>78.8</v>
          </cell>
          <cell r="E33" t="str">
            <v>C</v>
          </cell>
          <cell r="F33" t="str">
            <v xml:space="preserve">Ananda Deni Firya Athallah Pradinaya baik dalam G.  Cukup dalam . </v>
          </cell>
        </row>
        <row r="34">
          <cell r="B34">
            <v>31</v>
          </cell>
          <cell r="C34" t="str">
            <v>DEWI GALUH MULANSARI</v>
          </cell>
          <cell r="D34">
            <v>78.8</v>
          </cell>
          <cell r="E34" t="str">
            <v>C</v>
          </cell>
          <cell r="F34" t="str">
            <v xml:space="preserve">Ananda Dewi Galuh Mulansari baik dalam G.  Cukup dalam . </v>
          </cell>
        </row>
        <row r="35">
          <cell r="B35">
            <v>32</v>
          </cell>
          <cell r="C35" t="str">
            <v>DIAN PUJI LESTARI</v>
          </cell>
          <cell r="D35">
            <v>78.8</v>
          </cell>
          <cell r="E35" t="str">
            <v>C</v>
          </cell>
          <cell r="F35" t="str">
            <v xml:space="preserve">Ananda Dian Puji Lestari baik dalam G.  Cukup dalam . </v>
          </cell>
        </row>
        <row r="36">
          <cell r="B36">
            <v>33</v>
          </cell>
          <cell r="C36" t="str">
            <v>Hafidz Langgeng Prasetyo</v>
          </cell>
          <cell r="D36">
            <v>78.8</v>
          </cell>
          <cell r="E36" t="str">
            <v>C</v>
          </cell>
          <cell r="F36" t="str">
            <v xml:space="preserve">Ananda Hafidz Langgeng Prasetyo baik dalam G.  Cukup dalam . </v>
          </cell>
        </row>
        <row r="37">
          <cell r="B37">
            <v>34</v>
          </cell>
          <cell r="C37" t="str">
            <v>JALU ARTHA AJI MANGGALA HANDOKO</v>
          </cell>
          <cell r="D37">
            <v>78.8</v>
          </cell>
          <cell r="E37" t="str">
            <v>C</v>
          </cell>
          <cell r="F37" t="str">
            <v xml:space="preserve">Ananda Jalu Artha Aji Manggala Handoko baik dalam G.  Cukup dalam . </v>
          </cell>
        </row>
        <row r="38">
          <cell r="B38">
            <v>35</v>
          </cell>
          <cell r="C38" t="str">
            <v>LAURENDHO RADIEFCA MURDIONO</v>
          </cell>
          <cell r="D38">
            <v>78.8</v>
          </cell>
          <cell r="E38" t="str">
            <v>C</v>
          </cell>
          <cell r="F38" t="str">
            <v xml:space="preserve">Ananda Laurendho Radiefca Murdiono baik dalam G.  Cukup dalam . </v>
          </cell>
        </row>
        <row r="39">
          <cell r="B39">
            <v>36</v>
          </cell>
          <cell r="C39" t="str">
            <v>MARSYA MAYDINA DWI RISQITA</v>
          </cell>
          <cell r="D39">
            <v>78.8</v>
          </cell>
          <cell r="E39" t="str">
            <v>C</v>
          </cell>
          <cell r="F39" t="str">
            <v xml:space="preserve">Ananda Marsya Maydina Dwi Risqita baik dalam G.  Cukup dalam . </v>
          </cell>
        </row>
        <row r="40">
          <cell r="B40">
            <v>37</v>
          </cell>
          <cell r="C40" t="str">
            <v>MILA SARASWATI</v>
          </cell>
          <cell r="D40">
            <v>78.8</v>
          </cell>
          <cell r="E40" t="str">
            <v>C</v>
          </cell>
          <cell r="F40" t="str">
            <v xml:space="preserve">Ananda Mila Saraswati baik dalam G.  Cukup dalam . </v>
          </cell>
        </row>
        <row r="41">
          <cell r="B41">
            <v>38</v>
          </cell>
          <cell r="C41" t="str">
            <v>MUHAMMAD ARKAN ALLY RACHMAD</v>
          </cell>
          <cell r="D41">
            <v>78.8</v>
          </cell>
          <cell r="E41" t="str">
            <v>C</v>
          </cell>
          <cell r="F41" t="str">
            <v xml:space="preserve">Ananda Muhammad Arkan Ally Rachmad baik dalam G.  Cukup dalam . </v>
          </cell>
        </row>
        <row r="42">
          <cell r="B42">
            <v>39</v>
          </cell>
          <cell r="C42" t="str">
            <v>MUHAMMAD REVIAN ABDULLOH FAQIH</v>
          </cell>
          <cell r="D42">
            <v>78.8</v>
          </cell>
          <cell r="E42" t="str">
            <v>C</v>
          </cell>
          <cell r="F42" t="str">
            <v xml:space="preserve">Ananda Muhammad Revian Abdulloh Faqih baik dalam G.  Cukup dalam . </v>
          </cell>
        </row>
        <row r="43">
          <cell r="B43">
            <v>40</v>
          </cell>
          <cell r="C43" t="str">
            <v>NABILA AYUNINGTIAS</v>
          </cell>
          <cell r="D43">
            <v>78.8</v>
          </cell>
          <cell r="E43" t="str">
            <v>C</v>
          </cell>
          <cell r="F43" t="str">
            <v xml:space="preserve">Ananda Nabila Ayuningtias baik dalam G.  Cukup dalam . </v>
          </cell>
        </row>
        <row r="44">
          <cell r="B44">
            <v>41</v>
          </cell>
          <cell r="C44" t="str">
            <v>NARESWARI MASAYU PUSPANINGRUM</v>
          </cell>
          <cell r="D44">
            <v>78.8</v>
          </cell>
          <cell r="E44" t="str">
            <v>C</v>
          </cell>
          <cell r="F44" t="str">
            <v xml:space="preserve">Ananda Nareswari Masayu Puspaningrum baik dalam G.  Cukup dalam . </v>
          </cell>
        </row>
        <row r="45">
          <cell r="B45">
            <v>42</v>
          </cell>
          <cell r="C45" t="str">
            <v>NOVA SASMYTA</v>
          </cell>
          <cell r="D45">
            <v>78.8</v>
          </cell>
          <cell r="E45" t="str">
            <v>C</v>
          </cell>
          <cell r="F45" t="str">
            <v xml:space="preserve">Ananda Nova Sasmyta baik dalam G.  Cukup dalam . </v>
          </cell>
        </row>
        <row r="46">
          <cell r="B46">
            <v>43</v>
          </cell>
          <cell r="C46" t="str">
            <v>RIDHA RAHMATUL AULA RIDWAN</v>
          </cell>
          <cell r="D46">
            <v>78.8</v>
          </cell>
          <cell r="E46" t="str">
            <v>C</v>
          </cell>
          <cell r="F46" t="str">
            <v xml:space="preserve">Ananda Ridha Rahmatul Aula Ridwan baik dalam G.  Cukup dalam . </v>
          </cell>
        </row>
        <row r="47">
          <cell r="B47">
            <v>44</v>
          </cell>
          <cell r="C47" t="str">
            <v>RIFDA SALSABILA PURNAMA</v>
          </cell>
          <cell r="D47">
            <v>78.8</v>
          </cell>
          <cell r="E47" t="str">
            <v>C</v>
          </cell>
          <cell r="F47" t="str">
            <v xml:space="preserve">Ananda Rifda Salsabila Purnama baik dalam G.  Cukup dalam . </v>
          </cell>
        </row>
        <row r="48">
          <cell r="B48">
            <v>45</v>
          </cell>
          <cell r="C48" t="str">
            <v>RIZKI INTAN KURNIAENDAH</v>
          </cell>
          <cell r="D48">
            <v>78.8</v>
          </cell>
          <cell r="E48" t="str">
            <v>C</v>
          </cell>
          <cell r="F48" t="str">
            <v xml:space="preserve">Ananda Rizki Intan Kurniaendah baik dalam G.  Cukup dalam . </v>
          </cell>
        </row>
        <row r="49">
          <cell r="B49">
            <v>46</v>
          </cell>
          <cell r="C49" t="str">
            <v>RIZKY FIRMANSYAH</v>
          </cell>
          <cell r="D49">
            <v>78.8</v>
          </cell>
          <cell r="E49" t="str">
            <v>C</v>
          </cell>
          <cell r="F49" t="str">
            <v xml:space="preserve">Ananda Rizky Firmansyah baik dalam G.  Cukup dalam . </v>
          </cell>
        </row>
        <row r="50">
          <cell r="B50">
            <v>47</v>
          </cell>
          <cell r="C50" t="str">
            <v>SAFIRA NUR LAYLA RAMADHANI</v>
          </cell>
          <cell r="D50">
            <v>78.8</v>
          </cell>
          <cell r="E50" t="str">
            <v>C</v>
          </cell>
          <cell r="F50" t="str">
            <v xml:space="preserve">Ananda Safira Nur Layla Ramadhani baik dalam G.  Cukup dalam . </v>
          </cell>
        </row>
        <row r="51">
          <cell r="B51">
            <v>48</v>
          </cell>
          <cell r="C51" t="str">
            <v>SHANASTRI RUFAIDA</v>
          </cell>
          <cell r="D51">
            <v>78.8</v>
          </cell>
          <cell r="E51" t="str">
            <v>C</v>
          </cell>
          <cell r="F51" t="str">
            <v xml:space="preserve">Ananda Shanastri Rufaida baik dalam G.  Cukup dalam . </v>
          </cell>
        </row>
        <row r="52">
          <cell r="B52">
            <v>49</v>
          </cell>
          <cell r="C52" t="str">
            <v>SHIAM SAHARA</v>
          </cell>
          <cell r="D52">
            <v>78.8</v>
          </cell>
          <cell r="E52" t="str">
            <v>C</v>
          </cell>
          <cell r="F52" t="str">
            <v xml:space="preserve">Ananda Shiam Sahara baik dalam G.  Cukup dalam . </v>
          </cell>
        </row>
        <row r="53">
          <cell r="B53">
            <v>50</v>
          </cell>
          <cell r="C53" t="str">
            <v>SUSAN APRILIA PUTRI</v>
          </cell>
          <cell r="D53">
            <v>78.8</v>
          </cell>
          <cell r="E53" t="str">
            <v>C</v>
          </cell>
          <cell r="F53" t="str">
            <v xml:space="preserve">Ananda Susan Aprilia Putri baik dalam G.  Cukup dalam . </v>
          </cell>
        </row>
      </sheetData>
      <sheetData sheetId="56"/>
      <sheetData sheetId="57">
        <row r="4">
          <cell r="B4">
            <v>1</v>
          </cell>
          <cell r="C4" t="str">
            <v>AZKA AFINA KHOIRUL IZA</v>
          </cell>
          <cell r="D4">
            <v>90</v>
          </cell>
          <cell r="E4" t="str">
            <v>A</v>
          </cell>
          <cell r="F4" t="str">
            <v xml:space="preserve">Ananda Azka Afina Khoirul Iza sangat baik dalam E.  Sangat baik dalam E. </v>
          </cell>
        </row>
        <row r="5">
          <cell r="B5">
            <v>2</v>
          </cell>
          <cell r="C5" t="str">
            <v>BAGUS WIDA KANAKA</v>
          </cell>
          <cell r="D5">
            <v>78.8</v>
          </cell>
          <cell r="E5" t="str">
            <v>C</v>
          </cell>
          <cell r="F5" t="str">
            <v xml:space="preserve">Ananda Bagus Wida Kanaka baik dalam E.  Cukup dalam . </v>
          </cell>
        </row>
        <row r="6">
          <cell r="B6">
            <v>3</v>
          </cell>
          <cell r="C6" t="str">
            <v>DENI FIRYA ATHALLAH PRADINAYA</v>
          </cell>
          <cell r="D6">
            <v>78.8</v>
          </cell>
          <cell r="E6" t="str">
            <v>C</v>
          </cell>
          <cell r="F6" t="str">
            <v xml:space="preserve">Ananda Deni Firya Athallah Pradinaya baik dalam E.  Cukup dalam . </v>
          </cell>
        </row>
        <row r="7">
          <cell r="B7">
            <v>4</v>
          </cell>
          <cell r="C7" t="str">
            <v>DEWI GALUH MULANSARI</v>
          </cell>
          <cell r="D7">
            <v>81.428571428571431</v>
          </cell>
          <cell r="E7" t="str">
            <v>B</v>
          </cell>
          <cell r="F7" t="str">
            <v xml:space="preserve">Ananda Dewi Galuh Mulansari baik dalam E.  Cukup dalam . </v>
          </cell>
        </row>
        <row r="8">
          <cell r="B8">
            <v>5</v>
          </cell>
          <cell r="C8" t="str">
            <v>DIAN PUJI LESTARI</v>
          </cell>
          <cell r="D8">
            <v>78.8</v>
          </cell>
          <cell r="E8" t="str">
            <v>C</v>
          </cell>
          <cell r="F8" t="str">
            <v xml:space="preserve">Ananda Dian Puji Lestari baik dalam E.  Cukup dalam . </v>
          </cell>
        </row>
        <row r="9">
          <cell r="B9">
            <v>6</v>
          </cell>
          <cell r="C9" t="str">
            <v>Hafidz Langgeng Prasetyo</v>
          </cell>
          <cell r="D9">
            <v>78.8</v>
          </cell>
          <cell r="E9" t="str">
            <v>C</v>
          </cell>
          <cell r="F9" t="str">
            <v xml:space="preserve">Ananda Hafidz Langgeng Prasetyo baik dalam E.  Cukup dalam . </v>
          </cell>
        </row>
        <row r="10">
          <cell r="B10">
            <v>7</v>
          </cell>
          <cell r="C10" t="str">
            <v>JALU ARTHA AJI MANGGALA HANDOKO</v>
          </cell>
          <cell r="D10">
            <v>78.8</v>
          </cell>
          <cell r="E10" t="str">
            <v>C</v>
          </cell>
          <cell r="F10" t="str">
            <v xml:space="preserve">Ananda Jalu Artha Aji Manggala Handoko baik dalam E.  Cukup dalam . </v>
          </cell>
        </row>
        <row r="11">
          <cell r="B11">
            <v>8</v>
          </cell>
          <cell r="C11" t="str">
            <v>LAURENDHO RADIEFCA MURDIONO</v>
          </cell>
          <cell r="D11">
            <v>78.8</v>
          </cell>
          <cell r="E11" t="str">
            <v>C</v>
          </cell>
          <cell r="F11" t="str">
            <v xml:space="preserve">Ananda Laurendho Radiefca Murdiono baik dalam E.  Cukup dalam . </v>
          </cell>
        </row>
        <row r="12">
          <cell r="B12">
            <v>9</v>
          </cell>
          <cell r="C12" t="str">
            <v>MARSYA MAYDINA DWI RISQITA</v>
          </cell>
          <cell r="D12">
            <v>78.8</v>
          </cell>
          <cell r="E12" t="str">
            <v>C</v>
          </cell>
          <cell r="F12" t="str">
            <v xml:space="preserve">Ananda Marsya Maydina Dwi Risqita baik dalam E.  Cukup dalam . </v>
          </cell>
        </row>
        <row r="13">
          <cell r="B13">
            <v>10</v>
          </cell>
          <cell r="C13" t="str">
            <v>MILA SARASWATI</v>
          </cell>
          <cell r="D13">
            <v>78.8</v>
          </cell>
          <cell r="E13" t="str">
            <v>C</v>
          </cell>
          <cell r="F13" t="str">
            <v xml:space="preserve">Ananda Mila Saraswati baik dalam E.  Cukup dalam . </v>
          </cell>
        </row>
        <row r="14">
          <cell r="B14">
            <v>11</v>
          </cell>
          <cell r="C14" t="str">
            <v>MUHAMMAD ARKAN ALLY RACHMAD</v>
          </cell>
          <cell r="D14">
            <v>78.8</v>
          </cell>
          <cell r="E14" t="str">
            <v>C</v>
          </cell>
          <cell r="F14" t="str">
            <v xml:space="preserve">Ananda Muhammad Arkan Ally Rachmad baik dalam E.  Cukup dalam . </v>
          </cell>
        </row>
        <row r="15">
          <cell r="B15">
            <v>12</v>
          </cell>
          <cell r="C15" t="str">
            <v>MUHAMMAD REVIAN ABDULLOH FAQIH</v>
          </cell>
          <cell r="D15">
            <v>78.8</v>
          </cell>
          <cell r="E15" t="str">
            <v>C</v>
          </cell>
          <cell r="F15" t="str">
            <v xml:space="preserve">Ananda Muhammad Revian Abdulloh Faqih baik dalam E.  Cukup dalam . </v>
          </cell>
        </row>
        <row r="16">
          <cell r="B16">
            <v>13</v>
          </cell>
          <cell r="C16" t="str">
            <v>NABILA AYUNINGTIAS</v>
          </cell>
          <cell r="D16">
            <v>78.8</v>
          </cell>
          <cell r="E16" t="str">
            <v>C</v>
          </cell>
          <cell r="F16" t="str">
            <v xml:space="preserve">Ananda Nabila Ayuningtias baik dalam E.  Cukup dalam . </v>
          </cell>
        </row>
        <row r="17">
          <cell r="B17">
            <v>14</v>
          </cell>
          <cell r="C17" t="str">
            <v>NARESWARI MASAYU PUSPANINGRUM</v>
          </cell>
          <cell r="D17">
            <v>78.8</v>
          </cell>
          <cell r="E17" t="str">
            <v>C</v>
          </cell>
          <cell r="F17" t="str">
            <v xml:space="preserve">Ananda Nareswari Masayu Puspaningrum baik dalam E.  Cukup dalam . </v>
          </cell>
        </row>
        <row r="18">
          <cell r="B18">
            <v>15</v>
          </cell>
          <cell r="C18" t="str">
            <v>NOVA SASMYTA</v>
          </cell>
          <cell r="D18">
            <v>78.8</v>
          </cell>
          <cell r="E18" t="str">
            <v>C</v>
          </cell>
          <cell r="F18" t="str">
            <v xml:space="preserve">Ananda Nova Sasmyta baik dalam E.  Cukup dalam . </v>
          </cell>
        </row>
        <row r="19">
          <cell r="B19">
            <v>16</v>
          </cell>
          <cell r="C19" t="str">
            <v>RIDHA RAHMATUL AULA RIDWAN</v>
          </cell>
          <cell r="D19">
            <v>78.8</v>
          </cell>
          <cell r="E19" t="str">
            <v>C</v>
          </cell>
          <cell r="F19" t="str">
            <v xml:space="preserve">Ananda Ridha Rahmatul Aula Ridwan baik dalam E.  Cukup dalam . </v>
          </cell>
        </row>
        <row r="20">
          <cell r="B20">
            <v>17</v>
          </cell>
          <cell r="C20" t="str">
            <v>RIFDA SALSABILA PURNAMA</v>
          </cell>
          <cell r="D20">
            <v>78.8</v>
          </cell>
          <cell r="E20" t="str">
            <v>C</v>
          </cell>
          <cell r="F20" t="str">
            <v xml:space="preserve">Ananda Rifda Salsabila Purnama baik dalam E.  Cukup dalam . </v>
          </cell>
        </row>
        <row r="21">
          <cell r="B21">
            <v>18</v>
          </cell>
          <cell r="C21" t="str">
            <v>RIZKI INTAN KURNIAENDAH</v>
          </cell>
          <cell r="D21">
            <v>78.8</v>
          </cell>
          <cell r="E21" t="str">
            <v>C</v>
          </cell>
          <cell r="F21" t="str">
            <v xml:space="preserve">Ananda Rizki Intan Kurniaendah baik dalam E.  Cukup dalam . </v>
          </cell>
        </row>
        <row r="22">
          <cell r="B22">
            <v>19</v>
          </cell>
          <cell r="C22" t="str">
            <v>RIZKY FIRMANSYAH</v>
          </cell>
          <cell r="D22">
            <v>78.8</v>
          </cell>
          <cell r="E22" t="str">
            <v>C</v>
          </cell>
          <cell r="F22" t="str">
            <v xml:space="preserve">Ananda Rizky Firmansyah baik dalam E.  Cukup dalam . </v>
          </cell>
        </row>
        <row r="23">
          <cell r="B23">
            <v>20</v>
          </cell>
          <cell r="C23" t="str">
            <v>SAFIRA NUR LAYLA RAMADHANI</v>
          </cell>
          <cell r="D23">
            <v>78.8</v>
          </cell>
          <cell r="E23" t="str">
            <v>C</v>
          </cell>
          <cell r="F23" t="str">
            <v xml:space="preserve">Ananda Safira Nur Layla Ramadhani baik dalam E.  Cukup dalam . </v>
          </cell>
        </row>
        <row r="24">
          <cell r="B24">
            <v>21</v>
          </cell>
          <cell r="C24" t="str">
            <v>SHANASTRI RUFAIDA</v>
          </cell>
          <cell r="D24">
            <v>78.8</v>
          </cell>
          <cell r="E24" t="str">
            <v>C</v>
          </cell>
          <cell r="F24" t="str">
            <v xml:space="preserve">Ananda Shanastri Rufaida baik dalam E.  Cukup dalam . </v>
          </cell>
        </row>
        <row r="25">
          <cell r="B25">
            <v>22</v>
          </cell>
          <cell r="C25" t="str">
            <v>SHIAM SAHARA</v>
          </cell>
          <cell r="D25">
            <v>78.8</v>
          </cell>
          <cell r="E25" t="str">
            <v>C</v>
          </cell>
          <cell r="F25" t="str">
            <v xml:space="preserve">Ananda Shiam Sahara baik dalam E.  Cukup dalam . </v>
          </cell>
        </row>
        <row r="26">
          <cell r="B26">
            <v>23</v>
          </cell>
          <cell r="C26" t="str">
            <v>SUSAN APRILIA PUTRI</v>
          </cell>
          <cell r="D26">
            <v>78.8</v>
          </cell>
          <cell r="E26" t="str">
            <v>C</v>
          </cell>
          <cell r="F26" t="str">
            <v xml:space="preserve">Ananda Susan Aprilia Putri baik dalam E.  Cukup dalam . </v>
          </cell>
        </row>
        <row r="27">
          <cell r="B27">
            <v>24</v>
          </cell>
          <cell r="C27" t="str">
            <v>SYIFAUL CHUSNA BANATU ROHMI HADI</v>
          </cell>
          <cell r="D27">
            <v>78.8</v>
          </cell>
          <cell r="E27" t="str">
            <v>C</v>
          </cell>
          <cell r="F27" t="str">
            <v xml:space="preserve">Ananda Syifaul Chusna Banatu Rohmi Hadi baik dalam E.  Cukup dalam . </v>
          </cell>
        </row>
        <row r="28">
          <cell r="B28">
            <v>25</v>
          </cell>
          <cell r="C28" t="str">
            <v>VANESSA VICKY AYU LESTARI</v>
          </cell>
          <cell r="D28">
            <v>78.8</v>
          </cell>
          <cell r="E28" t="str">
            <v>C</v>
          </cell>
          <cell r="F28" t="str">
            <v xml:space="preserve">Ananda Vanessa Vicky Ayu Lestari baik dalam E.  Cukup dalam . </v>
          </cell>
        </row>
        <row r="29">
          <cell r="B29">
            <v>26</v>
          </cell>
          <cell r="C29" t="str">
            <v>WIBI NUR FIRMANSYAH</v>
          </cell>
          <cell r="D29">
            <v>78.8</v>
          </cell>
          <cell r="E29" t="str">
            <v>C</v>
          </cell>
          <cell r="F29" t="str">
            <v xml:space="preserve">Ananda Wibi Nur Firmansyah baik dalam E.  Cukup dalam . </v>
          </cell>
        </row>
        <row r="30">
          <cell r="B30">
            <v>27</v>
          </cell>
          <cell r="C30" t="str">
            <v>ZULFIDA NURUL MAZIDAH</v>
          </cell>
          <cell r="D30">
            <v>78.8</v>
          </cell>
          <cell r="E30" t="str">
            <v>C</v>
          </cell>
          <cell r="F30" t="str">
            <v xml:space="preserve">Ananda Zulfida Nurul Mazidah baik dalam E.  Cukup dalam . </v>
          </cell>
        </row>
        <row r="31">
          <cell r="B31">
            <v>28</v>
          </cell>
          <cell r="C31" t="str">
            <v>AZKA AFINA KHOIRUL IZA</v>
          </cell>
          <cell r="D31">
            <v>78.8</v>
          </cell>
          <cell r="E31" t="str">
            <v>C</v>
          </cell>
          <cell r="F31" t="str">
            <v xml:space="preserve">Ananda Azka Afina Khoirul Iza baik dalam E.  Cukup dalam . </v>
          </cell>
        </row>
        <row r="32">
          <cell r="B32">
            <v>29</v>
          </cell>
          <cell r="C32" t="str">
            <v>BAGUS WIDA KANAKA</v>
          </cell>
          <cell r="D32">
            <v>78.8</v>
          </cell>
          <cell r="E32" t="str">
            <v>C</v>
          </cell>
          <cell r="F32" t="str">
            <v xml:space="preserve">Ananda Bagus Wida Kanaka baik dalam E.  Cukup dalam . </v>
          </cell>
        </row>
        <row r="33">
          <cell r="B33">
            <v>30</v>
          </cell>
          <cell r="C33" t="str">
            <v>DENI FIRYA ATHALLAH PRADINAYA</v>
          </cell>
          <cell r="D33">
            <v>78.8</v>
          </cell>
          <cell r="E33" t="str">
            <v>C</v>
          </cell>
          <cell r="F33" t="str">
            <v xml:space="preserve">Ananda Deni Firya Athallah Pradinaya baik dalam E.  Cukup dalam . </v>
          </cell>
        </row>
        <row r="34">
          <cell r="B34">
            <v>31</v>
          </cell>
          <cell r="C34" t="str">
            <v>DEWI GALUH MULANSARI</v>
          </cell>
          <cell r="D34">
            <v>78.8</v>
          </cell>
          <cell r="E34" t="str">
            <v>C</v>
          </cell>
          <cell r="F34" t="str">
            <v xml:space="preserve">Ananda Dewi Galuh Mulansari baik dalam E.  Cukup dalam . </v>
          </cell>
        </row>
        <row r="35">
          <cell r="B35">
            <v>32</v>
          </cell>
          <cell r="C35" t="str">
            <v>DIAN PUJI LESTARI</v>
          </cell>
          <cell r="D35">
            <v>78.8</v>
          </cell>
          <cell r="E35" t="str">
            <v>C</v>
          </cell>
          <cell r="F35" t="str">
            <v xml:space="preserve">Ananda Dian Puji Lestari baik dalam E.  Cukup dalam . </v>
          </cell>
        </row>
        <row r="36">
          <cell r="B36">
            <v>33</v>
          </cell>
          <cell r="C36" t="str">
            <v>Hafidz Langgeng Prasetyo</v>
          </cell>
          <cell r="D36">
            <v>78.8</v>
          </cell>
          <cell r="E36" t="str">
            <v>C</v>
          </cell>
          <cell r="F36" t="str">
            <v xml:space="preserve">Ananda Hafidz Langgeng Prasetyo baik dalam E.  Cukup dalam . </v>
          </cell>
        </row>
        <row r="37">
          <cell r="B37">
            <v>34</v>
          </cell>
          <cell r="C37" t="str">
            <v>JALU ARTHA AJI MANGGALA HANDOKO</v>
          </cell>
          <cell r="D37">
            <v>78.8</v>
          </cell>
          <cell r="E37" t="str">
            <v>C</v>
          </cell>
          <cell r="F37" t="str">
            <v xml:space="preserve">Ananda Jalu Artha Aji Manggala Handoko baik dalam E.  Cukup dalam . </v>
          </cell>
        </row>
        <row r="38">
          <cell r="B38">
            <v>35</v>
          </cell>
          <cell r="C38" t="str">
            <v>LAURENDHO RADIEFCA MURDIONO</v>
          </cell>
          <cell r="D38">
            <v>78.8</v>
          </cell>
          <cell r="E38" t="str">
            <v>C</v>
          </cell>
          <cell r="F38" t="str">
            <v xml:space="preserve">Ananda Laurendho Radiefca Murdiono baik dalam E.  Cukup dalam . </v>
          </cell>
        </row>
        <row r="39">
          <cell r="B39">
            <v>36</v>
          </cell>
          <cell r="C39" t="str">
            <v>MARSYA MAYDINA DWI RISQITA</v>
          </cell>
          <cell r="D39">
            <v>78.8</v>
          </cell>
          <cell r="E39" t="str">
            <v>C</v>
          </cell>
          <cell r="F39" t="str">
            <v xml:space="preserve">Ananda Marsya Maydina Dwi Risqita baik dalam E.  Cukup dalam . </v>
          </cell>
        </row>
        <row r="40">
          <cell r="B40">
            <v>37</v>
          </cell>
          <cell r="C40" t="str">
            <v>MILA SARASWATI</v>
          </cell>
          <cell r="D40">
            <v>78.8</v>
          </cell>
          <cell r="E40" t="str">
            <v>C</v>
          </cell>
          <cell r="F40" t="str">
            <v xml:space="preserve">Ananda Mila Saraswati baik dalam E.  Cukup dalam . </v>
          </cell>
        </row>
        <row r="41">
          <cell r="B41">
            <v>38</v>
          </cell>
          <cell r="C41" t="str">
            <v>MUHAMMAD ARKAN ALLY RACHMAD</v>
          </cell>
          <cell r="D41">
            <v>78.8</v>
          </cell>
          <cell r="E41" t="str">
            <v>C</v>
          </cell>
          <cell r="F41" t="str">
            <v xml:space="preserve">Ananda Muhammad Arkan Ally Rachmad baik dalam E.  Cukup dalam . </v>
          </cell>
        </row>
        <row r="42">
          <cell r="B42">
            <v>39</v>
          </cell>
          <cell r="C42" t="str">
            <v>MUHAMMAD REVIAN ABDULLOH FAQIH</v>
          </cell>
          <cell r="D42">
            <v>78.8</v>
          </cell>
          <cell r="E42" t="str">
            <v>C</v>
          </cell>
          <cell r="F42" t="str">
            <v xml:space="preserve">Ananda Muhammad Revian Abdulloh Faqih baik dalam E.  Cukup dalam . </v>
          </cell>
        </row>
        <row r="43">
          <cell r="B43">
            <v>40</v>
          </cell>
          <cell r="C43" t="str">
            <v>NABILA AYUNINGTIAS</v>
          </cell>
          <cell r="D43">
            <v>78.8</v>
          </cell>
          <cell r="E43" t="str">
            <v>C</v>
          </cell>
          <cell r="F43" t="str">
            <v xml:space="preserve">Ananda Nabila Ayuningtias baik dalam E.  Cukup dalam . </v>
          </cell>
        </row>
        <row r="44">
          <cell r="B44">
            <v>41</v>
          </cell>
          <cell r="C44" t="str">
            <v>NARESWARI MASAYU PUSPANINGRUM</v>
          </cell>
          <cell r="D44">
            <v>78.8</v>
          </cell>
          <cell r="E44" t="str">
            <v>C</v>
          </cell>
          <cell r="F44" t="str">
            <v xml:space="preserve">Ananda Nareswari Masayu Puspaningrum baik dalam E.  Cukup dalam . </v>
          </cell>
        </row>
        <row r="45">
          <cell r="B45">
            <v>42</v>
          </cell>
          <cell r="C45" t="str">
            <v>NOVA SASMYTA</v>
          </cell>
          <cell r="D45">
            <v>78.8</v>
          </cell>
          <cell r="E45" t="str">
            <v>C</v>
          </cell>
          <cell r="F45" t="str">
            <v xml:space="preserve">Ananda Nova Sasmyta baik dalam E.  Cukup dalam . </v>
          </cell>
        </row>
        <row r="46">
          <cell r="B46">
            <v>43</v>
          </cell>
          <cell r="C46" t="str">
            <v>RIDHA RAHMATUL AULA RIDWAN</v>
          </cell>
          <cell r="D46">
            <v>78.8</v>
          </cell>
          <cell r="E46" t="str">
            <v>C</v>
          </cell>
          <cell r="F46" t="str">
            <v xml:space="preserve">Ananda Ridha Rahmatul Aula Ridwan baik dalam E.  Cukup dalam . </v>
          </cell>
        </row>
        <row r="47">
          <cell r="B47">
            <v>44</v>
          </cell>
          <cell r="C47" t="str">
            <v>RIFDA SALSABILA PURNAMA</v>
          </cell>
          <cell r="D47">
            <v>78.8</v>
          </cell>
          <cell r="E47" t="str">
            <v>C</v>
          </cell>
          <cell r="F47" t="str">
            <v xml:space="preserve">Ananda Rifda Salsabila Purnama baik dalam E.  Cukup dalam . </v>
          </cell>
        </row>
        <row r="48">
          <cell r="B48">
            <v>45</v>
          </cell>
          <cell r="C48" t="str">
            <v>RIZKI INTAN KURNIAENDAH</v>
          </cell>
          <cell r="D48">
            <v>78.8</v>
          </cell>
          <cell r="E48" t="str">
            <v>C</v>
          </cell>
          <cell r="F48" t="str">
            <v xml:space="preserve">Ananda Rizki Intan Kurniaendah baik dalam E.  Cukup dalam . </v>
          </cell>
        </row>
        <row r="49">
          <cell r="B49">
            <v>46</v>
          </cell>
          <cell r="C49" t="str">
            <v>RIZKY FIRMANSYAH</v>
          </cell>
          <cell r="D49">
            <v>78.8</v>
          </cell>
          <cell r="E49" t="str">
            <v>C</v>
          </cell>
          <cell r="F49" t="str">
            <v xml:space="preserve">Ananda Rizky Firmansyah baik dalam E.  Cukup dalam . </v>
          </cell>
        </row>
        <row r="50">
          <cell r="B50">
            <v>47</v>
          </cell>
          <cell r="C50" t="str">
            <v>SAFIRA NUR LAYLA RAMADHANI</v>
          </cell>
          <cell r="D50">
            <v>78.8</v>
          </cell>
          <cell r="E50" t="str">
            <v>C</v>
          </cell>
          <cell r="F50" t="str">
            <v xml:space="preserve">Ananda Safira Nur Layla Ramadhani baik dalam E.  Cukup dalam . </v>
          </cell>
        </row>
        <row r="51">
          <cell r="B51">
            <v>48</v>
          </cell>
          <cell r="C51" t="str">
            <v>SHANASTRI RUFAIDA</v>
          </cell>
          <cell r="D51">
            <v>78.8</v>
          </cell>
          <cell r="E51" t="str">
            <v>C</v>
          </cell>
          <cell r="F51" t="str">
            <v xml:space="preserve">Ananda Shanastri Rufaida baik dalam E.  Cukup dalam . </v>
          </cell>
        </row>
        <row r="52">
          <cell r="B52">
            <v>49</v>
          </cell>
          <cell r="C52" t="str">
            <v>SHIAM SAHARA</v>
          </cell>
          <cell r="D52">
            <v>78.8</v>
          </cell>
          <cell r="E52" t="str">
            <v>C</v>
          </cell>
          <cell r="F52" t="str">
            <v xml:space="preserve">Ananda Shiam Sahara baik dalam E.  Cukup dalam . </v>
          </cell>
        </row>
        <row r="53">
          <cell r="B53">
            <v>50</v>
          </cell>
          <cell r="C53" t="str">
            <v>SUSAN APRILIA PUTRI</v>
          </cell>
          <cell r="D53">
            <v>78.8</v>
          </cell>
          <cell r="E53" t="str">
            <v>C</v>
          </cell>
          <cell r="F53" t="str">
            <v xml:space="preserve">Ananda Susan Aprilia Putri baik dalam E.  Cukup dalam . </v>
          </cell>
        </row>
      </sheetData>
      <sheetData sheetId="58"/>
      <sheetData sheetId="59">
        <row r="4">
          <cell r="B4">
            <v>1</v>
          </cell>
          <cell r="C4" t="str">
            <v>AZKA AFINA KHOIRUL IZA</v>
          </cell>
          <cell r="D4">
            <v>78.8</v>
          </cell>
          <cell r="E4" t="str">
            <v>C</v>
          </cell>
          <cell r="F4" t="str">
            <v xml:space="preserve">Ananda Azka Afina Khoirul Iza baik dalam Membaca ekspresif teks puisi modern.  Cukup dalam Menulis kalimat dengan menggunakan kata berimbuhan. </v>
          </cell>
        </row>
        <row r="5">
          <cell r="B5">
            <v>2</v>
          </cell>
          <cell r="C5" t="str">
            <v>BAGUS WIDA KANAKA</v>
          </cell>
          <cell r="D5">
            <v>78.8</v>
          </cell>
          <cell r="E5" t="str">
            <v>C</v>
          </cell>
          <cell r="F5" t="str">
            <v xml:space="preserve">Ananda Bagus Wida Kanaka baik dalam Membaca ekspresif teks puisi modern.  Cukup dalam Menulis kalimat dengan menggunakan kata berimbuhan. </v>
          </cell>
        </row>
        <row r="6">
          <cell r="B6">
            <v>3</v>
          </cell>
          <cell r="C6" t="str">
            <v>DENI FIRYA ATHALLAH PRADINAYA</v>
          </cell>
          <cell r="D6">
            <v>78.8</v>
          </cell>
          <cell r="E6" t="str">
            <v>C</v>
          </cell>
          <cell r="F6" t="str">
            <v xml:space="preserve">Ananda Deni Firya Athallah Pradinaya baik dalam Membaca ekspresif teks puisi modern.  Cukup dalam Menulis kalimat dengan menggunakan kata berimbuhan. </v>
          </cell>
        </row>
        <row r="7">
          <cell r="B7">
            <v>4</v>
          </cell>
          <cell r="C7" t="str">
            <v>DEWI GALUH MULANSARI</v>
          </cell>
          <cell r="D7">
            <v>81.428571428571431</v>
          </cell>
          <cell r="E7" t="str">
            <v>B</v>
          </cell>
          <cell r="F7" t="str">
            <v xml:space="preserve">Ananda Dewi Galuh Mulansari baik dalam Membaca ekspresif teks puisi modern.  Cukup dalam Menulis kalimat dengan menggunakan kata berimbuhan. </v>
          </cell>
        </row>
        <row r="8">
          <cell r="B8">
            <v>5</v>
          </cell>
          <cell r="C8" t="str">
            <v>DIAN PUJI LESTARI</v>
          </cell>
          <cell r="D8">
            <v>78.8</v>
          </cell>
          <cell r="E8" t="str">
            <v>C</v>
          </cell>
          <cell r="F8" t="str">
            <v xml:space="preserve">Ananda Dian Puji Lestari baik dalam Membaca ekspresif teks puisi modern.  Cukup dalam Menulis kalimat dengan menggunakan kata berimbuhan. </v>
          </cell>
        </row>
        <row r="9">
          <cell r="B9">
            <v>6</v>
          </cell>
          <cell r="C9" t="str">
            <v>Hafidz Langgeng Prasetyo</v>
          </cell>
          <cell r="D9">
            <v>78.8</v>
          </cell>
          <cell r="E9" t="str">
            <v>C</v>
          </cell>
          <cell r="F9" t="str">
            <v xml:space="preserve">Ananda Hafidz Langgeng Prasetyo baik dalam Membaca ekspresif teks puisi modern.  Cukup dalam Menulis kalimat dengan menggunakan kata berimbuhan. </v>
          </cell>
        </row>
        <row r="10">
          <cell r="B10">
            <v>7</v>
          </cell>
          <cell r="C10" t="str">
            <v>JALU ARTHA AJI MANGGALA HANDOKO</v>
          </cell>
          <cell r="D10">
            <v>78.8</v>
          </cell>
          <cell r="E10" t="str">
            <v>C</v>
          </cell>
          <cell r="F10" t="str">
            <v xml:space="preserve">Ananda Jalu Artha Aji Manggala Handoko baik dalam Membaca ekspresif teks puisi modern.  Cukup dalam Menulis kalimat dengan menggunakan kata berimbuhan. </v>
          </cell>
        </row>
        <row r="11">
          <cell r="B11">
            <v>8</v>
          </cell>
          <cell r="C11" t="str">
            <v>LAURENDHO RADIEFCA MURDIONO</v>
          </cell>
          <cell r="D11">
            <v>78.8</v>
          </cell>
          <cell r="E11" t="str">
            <v>C</v>
          </cell>
          <cell r="F11" t="str">
            <v xml:space="preserve">Ananda Laurendho Radiefca Murdiono baik dalam Membaca ekspresif teks puisi modern.  Cukup dalam Menulis kalimat dengan menggunakan kata berimbuhan. </v>
          </cell>
        </row>
        <row r="12">
          <cell r="B12">
            <v>9</v>
          </cell>
          <cell r="C12" t="str">
            <v>MARSYA MAYDINA DWI RISQITA</v>
          </cell>
          <cell r="D12">
            <v>78.8</v>
          </cell>
          <cell r="E12" t="str">
            <v>C</v>
          </cell>
          <cell r="F12" t="str">
            <v xml:space="preserve">Ananda Marsya Maydina Dwi Risqita baik dalam Membaca ekspresif teks puisi modern.  Cukup dalam Menulis kalimat dengan menggunakan kata berimbuhan. </v>
          </cell>
        </row>
        <row r="13">
          <cell r="B13">
            <v>10</v>
          </cell>
          <cell r="C13" t="str">
            <v>MILA SARASWATI</v>
          </cell>
          <cell r="D13">
            <v>78.8</v>
          </cell>
          <cell r="E13" t="str">
            <v>C</v>
          </cell>
          <cell r="F13" t="str">
            <v xml:space="preserve">Ananda Mila Saraswati baik dalam Membaca ekspresif teks puisi modern.  Cukup dalam Menulis kalimat dengan menggunakan kata berimbuhan. </v>
          </cell>
        </row>
        <row r="14">
          <cell r="B14">
            <v>11</v>
          </cell>
          <cell r="C14" t="str">
            <v>MUHAMMAD ARKAN ALLY RACHMAD</v>
          </cell>
          <cell r="D14">
            <v>78.8</v>
          </cell>
          <cell r="E14" t="str">
            <v>C</v>
          </cell>
          <cell r="F14" t="str">
            <v xml:space="preserve">Ananda Muhammad Arkan Ally Rachmad baik dalam Membaca ekspresif teks puisi modern.  Cukup dalam Menulis kalimat dengan menggunakan kata berimbuhan. </v>
          </cell>
        </row>
        <row r="15">
          <cell r="B15">
            <v>12</v>
          </cell>
          <cell r="C15" t="str">
            <v>MUHAMMAD REVIAN ABDULLOH FAQIH</v>
          </cell>
          <cell r="D15">
            <v>78.8</v>
          </cell>
          <cell r="E15" t="str">
            <v>C</v>
          </cell>
          <cell r="F15" t="str">
            <v xml:space="preserve">Ananda Muhammad Revian Abdulloh Faqih baik dalam Membaca ekspresif teks puisi modern.  Cukup dalam Menulis kalimat dengan menggunakan kata berimbuhan. </v>
          </cell>
        </row>
        <row r="16">
          <cell r="B16">
            <v>13</v>
          </cell>
          <cell r="C16" t="str">
            <v>NABILA AYUNINGTIAS</v>
          </cell>
          <cell r="D16">
            <v>78.8</v>
          </cell>
          <cell r="E16" t="str">
            <v>C</v>
          </cell>
          <cell r="F16" t="str">
            <v xml:space="preserve">Ananda Nabila Ayuningtias baik dalam Membaca ekspresif teks puisi modern.  Cukup dalam Menulis kalimat dengan menggunakan kata berimbuhan. </v>
          </cell>
        </row>
        <row r="17">
          <cell r="B17">
            <v>14</v>
          </cell>
          <cell r="C17" t="str">
            <v>NARESWARI MASAYU PUSPANINGRUM</v>
          </cell>
          <cell r="D17">
            <v>78.8</v>
          </cell>
          <cell r="E17" t="str">
            <v>C</v>
          </cell>
          <cell r="F17" t="str">
            <v xml:space="preserve">Ananda Nareswari Masayu Puspaningrum baik dalam Membaca ekspresif teks puisi modern.  Cukup dalam Menulis kalimat dengan menggunakan kata berimbuhan. </v>
          </cell>
        </row>
        <row r="18">
          <cell r="B18">
            <v>15</v>
          </cell>
          <cell r="C18" t="str">
            <v>NOVA SASMYTA</v>
          </cell>
          <cell r="D18">
            <v>78.8</v>
          </cell>
          <cell r="E18" t="str">
            <v>C</v>
          </cell>
          <cell r="F18" t="str">
            <v xml:space="preserve">Ananda Nova Sasmyta baik dalam Membaca ekspresif teks puisi modern.  Cukup dalam Menulis kalimat dengan menggunakan kata berimbuhan. </v>
          </cell>
        </row>
        <row r="19">
          <cell r="B19">
            <v>16</v>
          </cell>
          <cell r="C19" t="str">
            <v>RIDHA RAHMATUL AULA RIDWAN</v>
          </cell>
          <cell r="D19">
            <v>78.8</v>
          </cell>
          <cell r="E19" t="str">
            <v>C</v>
          </cell>
          <cell r="F19" t="str">
            <v xml:space="preserve">Ananda Ridha Rahmatul Aula Ridwan baik dalam Membaca ekspresif teks puisi modern.  Cukup dalam Menulis kalimat dengan menggunakan kata berimbuhan. </v>
          </cell>
        </row>
        <row r="20">
          <cell r="B20">
            <v>17</v>
          </cell>
          <cell r="C20" t="str">
            <v>RIFDA SALSABILA PURNAMA</v>
          </cell>
          <cell r="D20">
            <v>78.8</v>
          </cell>
          <cell r="E20" t="str">
            <v>C</v>
          </cell>
          <cell r="F20" t="str">
            <v xml:space="preserve">Ananda Rifda Salsabila Purnama baik dalam Membaca ekspresif teks puisi modern.  Cukup dalam Menulis kalimat dengan menggunakan kata berimbuhan. </v>
          </cell>
        </row>
        <row r="21">
          <cell r="B21">
            <v>18</v>
          </cell>
          <cell r="C21" t="str">
            <v>RIZKI INTAN KURNIAENDAH</v>
          </cell>
          <cell r="D21">
            <v>78.8</v>
          </cell>
          <cell r="E21" t="str">
            <v>C</v>
          </cell>
          <cell r="F21" t="str">
            <v xml:space="preserve">Ananda Rizki Intan Kurniaendah baik dalam Membaca ekspresif teks puisi modern.  Cukup dalam Menulis kalimat dengan menggunakan kata berimbuhan. </v>
          </cell>
        </row>
        <row r="22">
          <cell r="B22">
            <v>19</v>
          </cell>
          <cell r="C22" t="str">
            <v>RIZKY FIRMANSYAH</v>
          </cell>
          <cell r="D22">
            <v>78.8</v>
          </cell>
          <cell r="E22" t="str">
            <v>C</v>
          </cell>
          <cell r="F22" t="str">
            <v xml:space="preserve">Ananda Rizky Firmansyah baik dalam Membaca ekspresif teks puisi modern.  Cukup dalam Menulis kalimat dengan menggunakan kata berimbuhan. </v>
          </cell>
        </row>
        <row r="23">
          <cell r="B23">
            <v>20</v>
          </cell>
          <cell r="C23" t="str">
            <v>SAFIRA NUR LAYLA RAMADHANI</v>
          </cell>
          <cell r="D23">
            <v>78.8</v>
          </cell>
          <cell r="E23" t="str">
            <v>C</v>
          </cell>
          <cell r="F23" t="str">
            <v xml:space="preserve">Ananda Safira Nur Layla Ramadhani baik dalam Membaca ekspresif teks puisi modern.  Cukup dalam Menulis kalimat dengan menggunakan kata berimbuhan. </v>
          </cell>
        </row>
        <row r="24">
          <cell r="B24">
            <v>21</v>
          </cell>
          <cell r="C24" t="str">
            <v>SHANASTRI RUFAIDA</v>
          </cell>
          <cell r="D24">
            <v>78.8</v>
          </cell>
          <cell r="E24" t="str">
            <v>C</v>
          </cell>
          <cell r="F24" t="str">
            <v xml:space="preserve">Ananda Shanastri Rufaida baik dalam Membaca ekspresif teks puisi modern.  Cukup dalam Menulis kalimat dengan menggunakan kata berimbuhan. </v>
          </cell>
        </row>
        <row r="25">
          <cell r="B25">
            <v>22</v>
          </cell>
          <cell r="C25" t="str">
            <v>SHIAM SAHARA</v>
          </cell>
          <cell r="D25">
            <v>78.8</v>
          </cell>
          <cell r="E25" t="str">
            <v>C</v>
          </cell>
          <cell r="F25" t="str">
            <v xml:space="preserve">Ananda Shiam Sahara baik dalam Membaca ekspresif teks puisi modern.  Cukup dalam Menulis kalimat dengan menggunakan kata berimbuhan. </v>
          </cell>
        </row>
        <row r="26">
          <cell r="B26">
            <v>23</v>
          </cell>
          <cell r="C26" t="str">
            <v>SUSAN APRILIA PUTRI</v>
          </cell>
          <cell r="D26">
            <v>78.8</v>
          </cell>
          <cell r="E26" t="str">
            <v>C</v>
          </cell>
          <cell r="F26" t="str">
            <v xml:space="preserve">Ananda Susan Aprilia Putri baik dalam Membaca ekspresif teks puisi modern.  Cukup dalam Menulis kalimat dengan menggunakan kata berimbuhan. </v>
          </cell>
        </row>
        <row r="27">
          <cell r="B27">
            <v>24</v>
          </cell>
          <cell r="C27" t="str">
            <v>SYIFAUL CHUSNA BANATU ROHMI HADI</v>
          </cell>
          <cell r="D27">
            <v>78.8</v>
          </cell>
          <cell r="E27" t="str">
            <v>C</v>
          </cell>
          <cell r="F27" t="str">
            <v xml:space="preserve">Ananda Syifaul Chusna Banatu Rohmi Hadi baik dalam Membaca ekspresif teks puisi modern.  Cukup dalam Menulis kalimat dengan menggunakan kata berimbuhan. </v>
          </cell>
        </row>
        <row r="28">
          <cell r="B28">
            <v>25</v>
          </cell>
          <cell r="C28" t="str">
            <v>VANESSA VICKY AYU LESTARI</v>
          </cell>
          <cell r="D28">
            <v>78.8</v>
          </cell>
          <cell r="E28" t="str">
            <v>C</v>
          </cell>
          <cell r="F28" t="str">
            <v xml:space="preserve">Ananda Vanessa Vicky Ayu Lestari baik dalam Membaca ekspresif teks puisi modern.  Cukup dalam Menulis kalimat dengan menggunakan kata berimbuhan. </v>
          </cell>
        </row>
        <row r="29">
          <cell r="B29">
            <v>26</v>
          </cell>
          <cell r="C29" t="str">
            <v>WIBI NUR FIRMANSYAH</v>
          </cell>
          <cell r="D29">
            <v>78.8</v>
          </cell>
          <cell r="E29" t="str">
            <v>C</v>
          </cell>
          <cell r="F29" t="str">
            <v xml:space="preserve">Ananda Wibi Nur Firmansyah baik dalam Membaca ekspresif teks puisi modern.  Cukup dalam Menulis kalimat dengan menggunakan kata berimbuhan. </v>
          </cell>
        </row>
        <row r="30">
          <cell r="B30">
            <v>27</v>
          </cell>
          <cell r="C30" t="str">
            <v>ZULFIDA NURUL MAZIDAH</v>
          </cell>
          <cell r="D30">
            <v>78.8</v>
          </cell>
          <cell r="E30" t="str">
            <v>C</v>
          </cell>
          <cell r="F30" t="str">
            <v xml:space="preserve">Ananda Zulfida Nurul Mazidah baik dalam Membaca ekspresif teks puisi modern.  Cukup dalam Menulis kalimat dengan menggunakan kata berimbuhan. </v>
          </cell>
        </row>
        <row r="31">
          <cell r="B31">
            <v>28</v>
          </cell>
          <cell r="C31" t="str">
            <v>AZKA AFINA KHOIRUL IZA</v>
          </cell>
          <cell r="D31">
            <v>78.8</v>
          </cell>
          <cell r="E31" t="str">
            <v>C</v>
          </cell>
          <cell r="F31" t="str">
            <v xml:space="preserve">Ananda Azka Afina Khoirul Iza baik dalam Membaca ekspresif teks puisi modern.  Cukup dalam Menulis kalimat dengan menggunakan kata berimbuhan. </v>
          </cell>
        </row>
        <row r="32">
          <cell r="B32">
            <v>29</v>
          </cell>
          <cell r="C32" t="str">
            <v>BAGUS WIDA KANAKA</v>
          </cell>
          <cell r="D32">
            <v>78.8</v>
          </cell>
          <cell r="E32" t="str">
            <v>C</v>
          </cell>
          <cell r="F32" t="str">
            <v xml:space="preserve">Ananda Bagus Wida Kanaka baik dalam Membaca ekspresif teks puisi modern.  Cukup dalam Menulis kalimat dengan menggunakan kata berimbuhan. </v>
          </cell>
        </row>
        <row r="33">
          <cell r="B33">
            <v>30</v>
          </cell>
          <cell r="C33" t="str">
            <v>DENI FIRYA ATHALLAH PRADINAYA</v>
          </cell>
          <cell r="D33">
            <v>78.8</v>
          </cell>
          <cell r="E33" t="str">
            <v>C</v>
          </cell>
          <cell r="F33" t="str">
            <v xml:space="preserve">Ananda Deni Firya Athallah Pradinaya baik dalam Membaca ekspresif teks puisi modern.  Cukup dalam Menulis kalimat dengan menggunakan kata berimbuhan. </v>
          </cell>
        </row>
        <row r="34">
          <cell r="B34">
            <v>31</v>
          </cell>
          <cell r="C34" t="str">
            <v>DEWI GALUH MULANSARI</v>
          </cell>
          <cell r="D34">
            <v>78.8</v>
          </cell>
          <cell r="E34" t="str">
            <v>C</v>
          </cell>
          <cell r="F34" t="str">
            <v xml:space="preserve">Ananda Dewi Galuh Mulansari baik dalam Membaca ekspresif teks puisi modern.  Cukup dalam Menulis kalimat dengan menggunakan kata berimbuhan. </v>
          </cell>
        </row>
        <row r="35">
          <cell r="B35">
            <v>32</v>
          </cell>
          <cell r="C35" t="str">
            <v>DIAN PUJI LESTARI</v>
          </cell>
          <cell r="D35">
            <v>78.8</v>
          </cell>
          <cell r="E35" t="str">
            <v>C</v>
          </cell>
          <cell r="F35" t="str">
            <v xml:space="preserve">Ananda Dian Puji Lestari baik dalam Membaca ekspresif teks puisi modern.  Cukup dalam Menulis kalimat dengan menggunakan kata berimbuhan. </v>
          </cell>
        </row>
        <row r="36">
          <cell r="B36">
            <v>33</v>
          </cell>
          <cell r="C36" t="str">
            <v>Hafidz Langgeng Prasetyo</v>
          </cell>
          <cell r="D36">
            <v>78.8</v>
          </cell>
          <cell r="E36" t="str">
            <v>C</v>
          </cell>
          <cell r="F36" t="str">
            <v xml:space="preserve">Ananda Hafidz Langgeng Prasetyo baik dalam Membaca ekspresif teks puisi modern.  Cukup dalam Menulis kalimat dengan menggunakan kata berimbuhan. </v>
          </cell>
        </row>
        <row r="37">
          <cell r="B37">
            <v>34</v>
          </cell>
          <cell r="C37" t="str">
            <v>JALU ARTHA AJI MANGGALA HANDOKO</v>
          </cell>
          <cell r="D37">
            <v>78.8</v>
          </cell>
          <cell r="E37" t="str">
            <v>C</v>
          </cell>
          <cell r="F37" t="str">
            <v xml:space="preserve">Ananda Jalu Artha Aji Manggala Handoko baik dalam Membaca ekspresif teks puisi modern.  Cukup dalam Menulis kalimat dengan menggunakan kata berimbuhan. </v>
          </cell>
        </row>
        <row r="38">
          <cell r="B38">
            <v>35</v>
          </cell>
          <cell r="C38" t="str">
            <v>LAURENDHO RADIEFCA MURDIONO</v>
          </cell>
          <cell r="D38">
            <v>78.8</v>
          </cell>
          <cell r="E38" t="str">
            <v>C</v>
          </cell>
          <cell r="F38" t="str">
            <v xml:space="preserve">Ananda Laurendho Radiefca Murdiono baik dalam Membaca ekspresif teks puisi modern.  Cukup dalam Menulis kalimat dengan menggunakan kata berimbuhan. </v>
          </cell>
        </row>
        <row r="39">
          <cell r="B39">
            <v>36</v>
          </cell>
          <cell r="C39" t="str">
            <v>MARSYA MAYDINA DWI RISQITA</v>
          </cell>
          <cell r="D39">
            <v>78.8</v>
          </cell>
          <cell r="E39" t="str">
            <v>C</v>
          </cell>
          <cell r="F39" t="str">
            <v xml:space="preserve">Ananda Marsya Maydina Dwi Risqita baik dalam Membaca ekspresif teks puisi modern.  Cukup dalam Menulis kalimat dengan menggunakan kata berimbuhan. </v>
          </cell>
        </row>
        <row r="40">
          <cell r="B40">
            <v>37</v>
          </cell>
          <cell r="C40" t="str">
            <v>MILA SARASWATI</v>
          </cell>
          <cell r="D40">
            <v>78.8</v>
          </cell>
          <cell r="E40" t="str">
            <v>C</v>
          </cell>
          <cell r="F40" t="str">
            <v xml:space="preserve">Ananda Mila Saraswati baik dalam Membaca ekspresif teks puisi modern.  Cukup dalam Menulis kalimat dengan menggunakan kata berimbuhan. </v>
          </cell>
        </row>
        <row r="41">
          <cell r="B41">
            <v>38</v>
          </cell>
          <cell r="C41" t="str">
            <v>MUHAMMAD ARKAN ALLY RACHMAD</v>
          </cell>
          <cell r="D41">
            <v>78.8</v>
          </cell>
          <cell r="E41" t="str">
            <v>C</v>
          </cell>
          <cell r="F41" t="str">
            <v xml:space="preserve">Ananda Muhammad Arkan Ally Rachmad baik dalam Membaca ekspresif teks puisi modern.  Cukup dalam Menulis kalimat dengan menggunakan kata berimbuhan. </v>
          </cell>
        </row>
        <row r="42">
          <cell r="B42">
            <v>39</v>
          </cell>
          <cell r="C42" t="str">
            <v>MUHAMMAD REVIAN ABDULLOH FAQIH</v>
          </cell>
          <cell r="D42">
            <v>78.8</v>
          </cell>
          <cell r="E42" t="str">
            <v>C</v>
          </cell>
          <cell r="F42" t="str">
            <v xml:space="preserve">Ananda Muhammad Revian Abdulloh Faqih baik dalam Membaca ekspresif teks puisi modern.  Cukup dalam Menulis kalimat dengan menggunakan kata berimbuhan. </v>
          </cell>
        </row>
        <row r="43">
          <cell r="B43">
            <v>40</v>
          </cell>
          <cell r="C43" t="str">
            <v>NABILA AYUNINGTIAS</v>
          </cell>
          <cell r="D43">
            <v>78.8</v>
          </cell>
          <cell r="E43" t="str">
            <v>C</v>
          </cell>
          <cell r="F43" t="str">
            <v xml:space="preserve">Ananda Nabila Ayuningtias baik dalam Membaca ekspresif teks puisi modern.  Cukup dalam Menulis kalimat dengan menggunakan kata berimbuhan. </v>
          </cell>
        </row>
        <row r="44">
          <cell r="B44">
            <v>41</v>
          </cell>
          <cell r="C44" t="str">
            <v>NARESWARI MASAYU PUSPANINGRUM</v>
          </cell>
          <cell r="D44">
            <v>78.8</v>
          </cell>
          <cell r="E44" t="str">
            <v>C</v>
          </cell>
          <cell r="F44" t="str">
            <v xml:space="preserve">Ananda Nareswari Masayu Puspaningrum baik dalam Membaca ekspresif teks puisi modern.  Cukup dalam Menulis kalimat dengan menggunakan kata berimbuhan. </v>
          </cell>
        </row>
        <row r="45">
          <cell r="B45">
            <v>42</v>
          </cell>
          <cell r="C45" t="str">
            <v>NOVA SASMYTA</v>
          </cell>
          <cell r="D45">
            <v>78.8</v>
          </cell>
          <cell r="E45" t="str">
            <v>C</v>
          </cell>
          <cell r="F45" t="str">
            <v xml:space="preserve">Ananda Nova Sasmyta baik dalam Membaca ekspresif teks puisi modern.  Cukup dalam Menulis kalimat dengan menggunakan kata berimbuhan. </v>
          </cell>
        </row>
        <row r="46">
          <cell r="B46">
            <v>43</v>
          </cell>
          <cell r="C46" t="str">
            <v>RIDHA RAHMATUL AULA RIDWAN</v>
          </cell>
          <cell r="D46">
            <v>78.8</v>
          </cell>
          <cell r="E46" t="str">
            <v>C</v>
          </cell>
          <cell r="F46" t="str">
            <v xml:space="preserve">Ananda Ridha Rahmatul Aula Ridwan baik dalam Membaca ekspresif teks puisi modern.  Cukup dalam Menulis kalimat dengan menggunakan kata berimbuhan. </v>
          </cell>
        </row>
        <row r="47">
          <cell r="B47">
            <v>44</v>
          </cell>
          <cell r="C47" t="str">
            <v>RIFDA SALSABILA PURNAMA</v>
          </cell>
          <cell r="D47">
            <v>78.8</v>
          </cell>
          <cell r="E47" t="str">
            <v>C</v>
          </cell>
          <cell r="F47" t="str">
            <v xml:space="preserve">Ananda Rifda Salsabila Purnama baik dalam Membaca ekspresif teks puisi modern.  Cukup dalam Menulis kalimat dengan menggunakan kata berimbuhan. </v>
          </cell>
        </row>
        <row r="48">
          <cell r="B48">
            <v>45</v>
          </cell>
          <cell r="C48" t="str">
            <v>RIZKI INTAN KURNIAENDAH</v>
          </cell>
          <cell r="D48">
            <v>78.8</v>
          </cell>
          <cell r="E48" t="str">
            <v>C</v>
          </cell>
          <cell r="F48" t="str">
            <v xml:space="preserve">Ananda Rizki Intan Kurniaendah baik dalam Membaca ekspresif teks puisi modern.  Cukup dalam Menulis kalimat dengan menggunakan kata berimbuhan. </v>
          </cell>
        </row>
        <row r="49">
          <cell r="B49">
            <v>46</v>
          </cell>
          <cell r="C49" t="str">
            <v>RIZKY FIRMANSYAH</v>
          </cell>
          <cell r="D49">
            <v>78.8</v>
          </cell>
          <cell r="E49" t="str">
            <v>C</v>
          </cell>
          <cell r="F49" t="str">
            <v xml:space="preserve">Ananda Rizky Firmansyah baik dalam Membaca ekspresif teks puisi modern.  Cukup dalam Menulis kalimat dengan menggunakan kata berimbuhan. </v>
          </cell>
        </row>
        <row r="50">
          <cell r="B50">
            <v>47</v>
          </cell>
          <cell r="C50" t="str">
            <v>SAFIRA NUR LAYLA RAMADHANI</v>
          </cell>
          <cell r="D50">
            <v>78.8</v>
          </cell>
          <cell r="E50" t="str">
            <v>C</v>
          </cell>
          <cell r="F50" t="str">
            <v xml:space="preserve">Ananda Safira Nur Layla Ramadhani baik dalam Membaca ekspresif teks puisi modern.  Cukup dalam Menulis kalimat dengan menggunakan kata berimbuhan. </v>
          </cell>
        </row>
        <row r="51">
          <cell r="B51">
            <v>48</v>
          </cell>
          <cell r="C51" t="str">
            <v>SHANASTRI RUFAIDA</v>
          </cell>
          <cell r="D51">
            <v>78.8</v>
          </cell>
          <cell r="E51" t="str">
            <v>C</v>
          </cell>
          <cell r="F51" t="str">
            <v xml:space="preserve">Ananda Shanastri Rufaida baik dalam Membaca ekspresif teks puisi modern.  Cukup dalam Menulis kalimat dengan menggunakan kata berimbuhan. </v>
          </cell>
        </row>
        <row r="52">
          <cell r="B52">
            <v>49</v>
          </cell>
          <cell r="C52" t="str">
            <v>SHIAM SAHARA</v>
          </cell>
          <cell r="D52">
            <v>78.8</v>
          </cell>
          <cell r="E52" t="str">
            <v>C</v>
          </cell>
          <cell r="F52" t="str">
            <v xml:space="preserve">Ananda Shiam Sahara baik dalam Membaca ekspresif teks puisi modern.  Cukup dalam Menulis kalimat dengan menggunakan kata berimbuhan. </v>
          </cell>
        </row>
        <row r="53">
          <cell r="B53">
            <v>50</v>
          </cell>
          <cell r="C53" t="str">
            <v>SUSAN APRILIA PUTRI</v>
          </cell>
          <cell r="D53">
            <v>78.8</v>
          </cell>
          <cell r="E53" t="str">
            <v>C</v>
          </cell>
          <cell r="F53" t="str">
            <v xml:space="preserve">Ananda Susan Aprilia Putri baik dalam Membaca ekspresif teks puisi modern.  Cukup dalam Menulis kalimat dengan menggunakan kata berimbuhan. </v>
          </cell>
        </row>
      </sheetData>
      <sheetData sheetId="60"/>
      <sheetData sheetId="61"/>
      <sheetData sheetId="62"/>
      <sheetData sheetId="63"/>
      <sheetData sheetId="64"/>
      <sheetData sheetId="65"/>
      <sheetData sheetId="66"/>
      <sheetData sheetId="67"/>
      <sheetData sheetId="68"/>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9B5B8BD1-5CE0-424D-932B-18B5B65E20A0}">
  <dimension ref="A1"/>
  <sheetViews>
    <sheetView showFormulas="1" workbookViewId="0"/>
  </sheetViews>
  <sheetFormatPr defaultRowHeight="15" x14ac:dyDescent="0.25"/>
  <sheetData/>
  <pageMargins left="0.7" right="0.7" top="0.75" bottom="0.75"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BCDBD576-7CE9-4620-8C00-6049A8702246}">
  <dimension ref="A1"/>
  <sheetViews>
    <sheetView showFormulas="1" workbookViewId="0"/>
  </sheetViews>
  <sheetFormatPr defaultRowHeight="15" x14ac:dyDescent="0.25"/>
  <sheetData/>
  <pageMargins left="0.7" right="0.7" top="0.75" bottom="0.75" header="0.3" footer="0.3"/>
</xm:macrosheet>
</file>

<file path=xl/macrosheets/sheet3.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61B7041A-3AE9-490E-9E56-2CEFCF4FDE6B}">
  <dimension ref="A1"/>
  <sheetViews>
    <sheetView showFormulas="1" workbookViewId="0"/>
  </sheetViews>
  <sheetFormatPr defaultRowHeight="15" x14ac:dyDescent="0.25"/>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4"/>
  <sheetViews>
    <sheetView tabSelected="1" zoomScale="115" zoomScaleNormal="115" workbookViewId="0">
      <selection activeCell="R2" sqref="R2"/>
    </sheetView>
  </sheetViews>
  <sheetFormatPr defaultRowHeight="15" x14ac:dyDescent="0.25"/>
  <cols>
    <col min="1" max="1" width="3" customWidth="1"/>
    <col min="14" max="14" width="9.140625" customWidth="1"/>
    <col min="15" max="15" width="3.5703125" customWidth="1"/>
    <col min="16" max="16" width="5.28515625" customWidth="1"/>
    <col min="17" max="17" width="9.140625" customWidth="1"/>
    <col min="18" max="18" width="2.5703125" customWidth="1"/>
  </cols>
  <sheetData>
    <row r="1" spans="1:27" ht="15.75" thickBot="1" x14ac:dyDescent="0.3">
      <c r="A1" s="151"/>
      <c r="B1" s="152"/>
      <c r="C1" s="152"/>
      <c r="D1" s="152"/>
      <c r="E1" s="152"/>
      <c r="F1" s="152"/>
      <c r="G1" s="152"/>
      <c r="H1" s="152"/>
      <c r="I1" s="152"/>
      <c r="J1" s="152"/>
      <c r="K1" s="152"/>
      <c r="L1" s="152"/>
      <c r="M1" s="152"/>
      <c r="N1" s="152"/>
      <c r="O1" s="153"/>
      <c r="P1" s="2"/>
      <c r="Q1" s="2"/>
      <c r="R1" s="2"/>
      <c r="S1" s="2"/>
      <c r="T1" s="2"/>
      <c r="U1" s="2"/>
      <c r="V1" s="2"/>
      <c r="W1" s="2"/>
      <c r="X1" s="2"/>
      <c r="Y1" s="2"/>
      <c r="Z1" s="2"/>
      <c r="AA1" s="2"/>
    </row>
    <row r="2" spans="1:27" ht="15.75" thickBot="1" x14ac:dyDescent="0.3">
      <c r="A2" s="154"/>
      <c r="B2" s="141"/>
      <c r="C2" s="142"/>
      <c r="D2" s="142"/>
      <c r="E2" s="142"/>
      <c r="F2" s="142"/>
      <c r="G2" s="142"/>
      <c r="H2" s="142"/>
      <c r="I2" s="142"/>
      <c r="J2" s="142"/>
      <c r="K2" s="142"/>
      <c r="L2" s="142"/>
      <c r="M2" s="142"/>
      <c r="N2" s="143"/>
      <c r="O2" s="155"/>
      <c r="P2" s="2"/>
      <c r="Q2" s="2"/>
      <c r="R2" s="2"/>
      <c r="S2" s="2"/>
      <c r="T2" s="2"/>
      <c r="U2" s="2"/>
      <c r="V2" s="2"/>
      <c r="W2" s="2"/>
      <c r="X2" s="2"/>
      <c r="Y2" s="2"/>
      <c r="Z2" s="2"/>
      <c r="AA2" s="2"/>
    </row>
    <row r="3" spans="1:27" ht="18.75" customHeight="1" x14ac:dyDescent="0.25">
      <c r="A3" s="154"/>
      <c r="B3" s="230" t="s">
        <v>0</v>
      </c>
      <c r="C3" s="231"/>
      <c r="D3" s="231"/>
      <c r="E3" s="231"/>
      <c r="F3" s="231"/>
      <c r="G3" s="231"/>
      <c r="H3" s="231"/>
      <c r="I3" s="231"/>
      <c r="J3" s="231"/>
      <c r="K3" s="231"/>
      <c r="L3" s="231"/>
      <c r="M3" s="231"/>
      <c r="N3" s="232"/>
      <c r="O3" s="155"/>
      <c r="P3" s="2"/>
      <c r="Q3" s="2"/>
      <c r="R3" s="2"/>
      <c r="S3" s="2"/>
      <c r="T3" s="2"/>
      <c r="U3" s="2"/>
      <c r="V3" s="2"/>
      <c r="W3" s="2"/>
      <c r="X3" s="2"/>
      <c r="Y3" s="2"/>
      <c r="Z3" s="2"/>
      <c r="AA3" s="2"/>
    </row>
    <row r="4" spans="1:27" ht="18.75" customHeight="1" x14ac:dyDescent="0.25">
      <c r="A4" s="154"/>
      <c r="B4" s="245" t="s">
        <v>481</v>
      </c>
      <c r="C4" s="246"/>
      <c r="D4" s="246"/>
      <c r="E4" s="246"/>
      <c r="F4" s="246"/>
      <c r="G4" s="246"/>
      <c r="H4" s="246"/>
      <c r="I4" s="246"/>
      <c r="J4" s="246"/>
      <c r="K4" s="246"/>
      <c r="L4" s="246"/>
      <c r="M4" s="246"/>
      <c r="N4" s="247"/>
      <c r="O4" s="155"/>
      <c r="P4" s="2"/>
      <c r="Q4" s="2"/>
      <c r="R4" s="2"/>
      <c r="S4" s="2"/>
      <c r="T4" s="2"/>
      <c r="U4" s="2"/>
      <c r="V4" s="2"/>
      <c r="W4" s="2"/>
      <c r="X4" s="2"/>
      <c r="Y4" s="2"/>
      <c r="Z4" s="2"/>
      <c r="AA4" s="2"/>
    </row>
    <row r="5" spans="1:27" ht="18.75" customHeight="1" thickBot="1" x14ac:dyDescent="0.3">
      <c r="A5" s="154"/>
      <c r="B5" s="233" t="s">
        <v>1</v>
      </c>
      <c r="C5" s="234"/>
      <c r="D5" s="234"/>
      <c r="E5" s="234"/>
      <c r="F5" s="234"/>
      <c r="G5" s="234"/>
      <c r="H5" s="234"/>
      <c r="I5" s="234"/>
      <c r="J5" s="234"/>
      <c r="K5" s="234"/>
      <c r="L5" s="234"/>
      <c r="M5" s="234"/>
      <c r="N5" s="235"/>
      <c r="O5" s="155"/>
      <c r="P5" s="2"/>
      <c r="Q5" s="2"/>
      <c r="R5" s="2"/>
      <c r="S5" s="2"/>
      <c r="T5" s="2"/>
      <c r="U5" s="2"/>
      <c r="V5" s="2"/>
      <c r="W5" s="2"/>
      <c r="X5" s="2"/>
      <c r="Y5" s="2"/>
      <c r="Z5" s="2"/>
      <c r="AA5" s="2"/>
    </row>
    <row r="6" spans="1:27" x14ac:dyDescent="0.25">
      <c r="A6" s="154"/>
      <c r="B6" s="144"/>
      <c r="C6" s="145"/>
      <c r="D6" s="145"/>
      <c r="E6" s="145"/>
      <c r="F6" s="145"/>
      <c r="G6" s="145"/>
      <c r="H6" s="145"/>
      <c r="I6" s="145"/>
      <c r="J6" s="145"/>
      <c r="K6" s="145"/>
      <c r="L6" s="145"/>
      <c r="M6" s="145"/>
      <c r="N6" s="146"/>
      <c r="O6" s="155"/>
      <c r="P6" s="2"/>
      <c r="Q6" s="2"/>
      <c r="R6" s="2"/>
      <c r="S6" s="2"/>
      <c r="T6" s="2"/>
      <c r="U6" s="2"/>
      <c r="V6" s="2"/>
      <c r="W6" s="2"/>
      <c r="X6" s="2"/>
      <c r="Y6" s="2"/>
      <c r="Z6" s="2"/>
      <c r="AA6" s="2"/>
    </row>
    <row r="7" spans="1:27" x14ac:dyDescent="0.25">
      <c r="A7" s="154"/>
      <c r="B7" s="144"/>
      <c r="C7" s="145"/>
      <c r="D7" s="145"/>
      <c r="E7" s="145"/>
      <c r="F7" s="145"/>
      <c r="G7" s="145"/>
      <c r="H7" s="145"/>
      <c r="I7" s="145"/>
      <c r="J7" s="145"/>
      <c r="K7" s="145"/>
      <c r="L7" s="145"/>
      <c r="M7" s="145"/>
      <c r="N7" s="146"/>
      <c r="O7" s="155"/>
      <c r="P7" s="2"/>
      <c r="Q7" s="2"/>
      <c r="R7" s="2"/>
      <c r="S7" s="2"/>
      <c r="T7" s="2"/>
      <c r="U7" s="2"/>
      <c r="V7" s="2"/>
      <c r="W7" s="2"/>
      <c r="X7" s="2"/>
      <c r="Y7" s="2"/>
      <c r="Z7" s="2"/>
      <c r="AA7" s="2"/>
    </row>
    <row r="8" spans="1:27" x14ac:dyDescent="0.25">
      <c r="A8" s="154"/>
      <c r="B8" s="144"/>
      <c r="C8" s="145"/>
      <c r="D8" s="145"/>
      <c r="E8" s="145"/>
      <c r="F8" s="145"/>
      <c r="G8" s="145"/>
      <c r="H8" s="145"/>
      <c r="I8" s="145"/>
      <c r="J8" s="145"/>
      <c r="K8" s="145"/>
      <c r="L8" s="145"/>
      <c r="M8" s="145"/>
      <c r="N8" s="146"/>
      <c r="O8" s="155"/>
      <c r="P8" s="2"/>
      <c r="Q8" s="2"/>
      <c r="R8" s="2"/>
      <c r="S8" s="2"/>
      <c r="T8" s="2"/>
      <c r="U8" s="2"/>
      <c r="V8" s="2"/>
      <c r="W8" s="2"/>
      <c r="X8" s="2"/>
      <c r="Y8" s="2"/>
      <c r="Z8" s="2"/>
      <c r="AA8" s="2"/>
    </row>
    <row r="9" spans="1:27" ht="15.75" thickBot="1" x14ac:dyDescent="0.3">
      <c r="A9" s="154"/>
      <c r="B9" s="144"/>
      <c r="C9" s="145"/>
      <c r="D9" s="145"/>
      <c r="E9" s="145"/>
      <c r="F9" s="145"/>
      <c r="G9" s="145"/>
      <c r="H9" s="145"/>
      <c r="I9" s="145"/>
      <c r="J9" s="145"/>
      <c r="K9" s="145"/>
      <c r="L9" s="145"/>
      <c r="M9" s="145"/>
      <c r="N9" s="146"/>
      <c r="O9" s="155"/>
      <c r="P9" s="2"/>
      <c r="Q9" s="2"/>
      <c r="R9" s="2"/>
      <c r="S9" s="2"/>
      <c r="T9" s="2"/>
      <c r="U9" s="2"/>
      <c r="V9" s="2"/>
      <c r="W9" s="2"/>
      <c r="X9" s="2"/>
      <c r="Y9" s="2"/>
      <c r="Z9" s="2"/>
      <c r="AA9" s="2"/>
    </row>
    <row r="10" spans="1:27" ht="16.5" customHeight="1" x14ac:dyDescent="0.25">
      <c r="A10" s="154"/>
      <c r="B10" s="144"/>
      <c r="C10" s="145"/>
      <c r="D10" s="145"/>
      <c r="E10" s="145"/>
      <c r="F10" s="145"/>
      <c r="G10" s="145"/>
      <c r="H10" s="145"/>
      <c r="I10" s="145"/>
      <c r="J10" s="145"/>
      <c r="K10" s="145"/>
      <c r="L10" s="145"/>
      <c r="M10" s="145"/>
      <c r="N10" s="146"/>
      <c r="O10" s="155"/>
      <c r="P10" s="2"/>
      <c r="Q10" s="236" t="s">
        <v>525</v>
      </c>
      <c r="R10" s="237"/>
      <c r="S10" s="237"/>
      <c r="T10" s="238"/>
      <c r="U10" s="2"/>
      <c r="V10" s="2"/>
      <c r="W10" s="2"/>
      <c r="X10" s="2"/>
      <c r="Y10" s="2"/>
      <c r="Z10" s="2"/>
      <c r="AA10" s="2"/>
    </row>
    <row r="11" spans="1:27" ht="16.5" customHeight="1" x14ac:dyDescent="0.25">
      <c r="A11" s="154"/>
      <c r="B11" s="144"/>
      <c r="C11" s="145"/>
      <c r="D11" s="145"/>
      <c r="E11" s="145"/>
      <c r="F11" s="145"/>
      <c r="G11" s="145"/>
      <c r="H11" s="145"/>
      <c r="I11" s="145"/>
      <c r="J11" s="145"/>
      <c r="K11" s="145"/>
      <c r="L11" s="145"/>
      <c r="M11" s="145"/>
      <c r="N11" s="146"/>
      <c r="O11" s="155"/>
      <c r="P11" s="2"/>
      <c r="Q11" s="239"/>
      <c r="R11" s="240"/>
      <c r="S11" s="240"/>
      <c r="T11" s="241"/>
      <c r="U11" s="2"/>
      <c r="V11" s="2"/>
      <c r="W11" s="2"/>
      <c r="X11" s="2"/>
      <c r="Y11" s="2"/>
      <c r="Z11" s="2"/>
      <c r="AA11" s="2"/>
    </row>
    <row r="12" spans="1:27" ht="16.5" customHeight="1" x14ac:dyDescent="0.25">
      <c r="A12" s="154"/>
      <c r="B12" s="144"/>
      <c r="C12" s="145"/>
      <c r="D12" s="145"/>
      <c r="E12" s="145"/>
      <c r="F12" s="145"/>
      <c r="G12" s="145"/>
      <c r="H12" s="145"/>
      <c r="I12" s="145"/>
      <c r="J12" s="145"/>
      <c r="K12" s="145"/>
      <c r="L12" s="145"/>
      <c r="M12" s="145"/>
      <c r="N12" s="146"/>
      <c r="O12" s="155"/>
      <c r="P12" s="2"/>
      <c r="Q12" s="239"/>
      <c r="R12" s="240"/>
      <c r="S12" s="240"/>
      <c r="T12" s="241"/>
      <c r="U12" s="2"/>
      <c r="V12" s="2"/>
      <c r="W12" s="2"/>
      <c r="X12" s="2"/>
      <c r="Y12" s="2"/>
      <c r="Z12" s="2"/>
      <c r="AA12" s="2"/>
    </row>
    <row r="13" spans="1:27" ht="15" customHeight="1" x14ac:dyDescent="0.25">
      <c r="A13" s="154"/>
      <c r="B13" s="144"/>
      <c r="C13" s="145"/>
      <c r="D13" s="145"/>
      <c r="E13" s="145"/>
      <c r="F13" s="145"/>
      <c r="G13" s="145"/>
      <c r="H13" s="145"/>
      <c r="I13" s="145"/>
      <c r="J13" s="145"/>
      <c r="K13" s="145"/>
      <c r="L13" s="145"/>
      <c r="M13" s="145"/>
      <c r="N13" s="146"/>
      <c r="O13" s="155"/>
      <c r="P13" s="2"/>
      <c r="Q13" s="239"/>
      <c r="R13" s="240"/>
      <c r="S13" s="240"/>
      <c r="T13" s="241"/>
      <c r="U13" s="2"/>
      <c r="V13" s="2"/>
      <c r="W13" s="2"/>
      <c r="X13" s="2"/>
      <c r="Y13" s="2"/>
      <c r="Z13" s="2"/>
      <c r="AA13" s="2"/>
    </row>
    <row r="14" spans="1:27" ht="15" customHeight="1" x14ac:dyDescent="0.25">
      <c r="A14" s="154"/>
      <c r="B14" s="144"/>
      <c r="C14" s="145"/>
      <c r="D14" s="145"/>
      <c r="E14" s="145"/>
      <c r="F14" s="145"/>
      <c r="G14" s="145"/>
      <c r="H14" s="145"/>
      <c r="I14" s="145"/>
      <c r="J14" s="145"/>
      <c r="K14" s="145"/>
      <c r="L14" s="145"/>
      <c r="M14" s="145"/>
      <c r="N14" s="146"/>
      <c r="O14" s="155"/>
      <c r="P14" s="2"/>
      <c r="Q14" s="239"/>
      <c r="R14" s="240"/>
      <c r="S14" s="240"/>
      <c r="T14" s="241"/>
      <c r="U14" s="2"/>
      <c r="V14" s="2"/>
      <c r="W14" s="2"/>
      <c r="X14" s="2"/>
      <c r="Y14" s="2"/>
      <c r="Z14" s="2"/>
      <c r="AA14" s="2"/>
    </row>
    <row r="15" spans="1:27" ht="15" customHeight="1" thickBot="1" x14ac:dyDescent="0.3">
      <c r="A15" s="154"/>
      <c r="B15" s="144"/>
      <c r="C15" s="145"/>
      <c r="D15" s="145"/>
      <c r="E15" s="145"/>
      <c r="F15" s="145"/>
      <c r="G15" s="145"/>
      <c r="H15" s="145"/>
      <c r="I15" s="145"/>
      <c r="J15" s="145"/>
      <c r="K15" s="145"/>
      <c r="L15" s="145"/>
      <c r="M15" s="145"/>
      <c r="N15" s="146"/>
      <c r="O15" s="155"/>
      <c r="P15" s="2"/>
      <c r="Q15" s="242"/>
      <c r="R15" s="243"/>
      <c r="S15" s="243"/>
      <c r="T15" s="244"/>
      <c r="U15" s="2"/>
      <c r="V15" s="2"/>
      <c r="W15" s="2"/>
      <c r="X15" s="2"/>
      <c r="Y15" s="2"/>
      <c r="Z15" s="2"/>
      <c r="AA15" s="2"/>
    </row>
    <row r="16" spans="1:27" ht="15" customHeight="1" x14ac:dyDescent="0.25">
      <c r="A16" s="154"/>
      <c r="B16" s="144"/>
      <c r="C16" s="145"/>
      <c r="D16" s="145"/>
      <c r="E16" s="145"/>
      <c r="F16" s="145"/>
      <c r="G16" s="145"/>
      <c r="H16" s="145"/>
      <c r="I16" s="145"/>
      <c r="J16" s="145"/>
      <c r="K16" s="145"/>
      <c r="L16" s="145"/>
      <c r="M16" s="145"/>
      <c r="N16" s="146"/>
      <c r="O16" s="155"/>
      <c r="P16" s="2"/>
      <c r="Q16" s="229" t="s">
        <v>515</v>
      </c>
      <c r="R16" s="229"/>
      <c r="S16" s="229"/>
      <c r="T16" s="229"/>
      <c r="U16" s="229"/>
      <c r="V16" s="229"/>
      <c r="W16" s="2"/>
      <c r="X16" s="2"/>
      <c r="Y16" s="2"/>
      <c r="Z16" s="2"/>
      <c r="AA16" s="2"/>
    </row>
    <row r="17" spans="1:27" ht="16.5" x14ac:dyDescent="0.25">
      <c r="A17" s="154"/>
      <c r="B17" s="144"/>
      <c r="C17" s="145"/>
      <c r="D17" s="145"/>
      <c r="E17" s="145"/>
      <c r="F17" s="145"/>
      <c r="G17" s="145"/>
      <c r="H17" s="145"/>
      <c r="I17" s="145"/>
      <c r="J17" s="145"/>
      <c r="K17" s="145"/>
      <c r="L17" s="145"/>
      <c r="M17" s="145"/>
      <c r="N17" s="146"/>
      <c r="O17" s="155"/>
      <c r="P17" s="2"/>
      <c r="Q17" s="229" t="s">
        <v>516</v>
      </c>
      <c r="R17" s="229"/>
      <c r="S17" s="229"/>
      <c r="T17" s="229"/>
      <c r="U17" s="229"/>
      <c r="V17" s="229"/>
      <c r="W17" s="2"/>
      <c r="X17" s="2"/>
      <c r="Y17" s="2"/>
      <c r="Z17" s="2"/>
      <c r="AA17" s="2"/>
    </row>
    <row r="18" spans="1:27" x14ac:dyDescent="0.25">
      <c r="A18" s="154"/>
      <c r="B18" s="144"/>
      <c r="C18" s="145"/>
      <c r="D18" s="145"/>
      <c r="E18" s="145"/>
      <c r="F18" s="145"/>
      <c r="G18" s="145"/>
      <c r="H18" s="145"/>
      <c r="I18" s="145"/>
      <c r="J18" s="145"/>
      <c r="K18" s="145"/>
      <c r="L18" s="145"/>
      <c r="M18" s="145"/>
      <c r="N18" s="146"/>
      <c r="O18" s="155"/>
      <c r="P18" s="2"/>
      <c r="Q18" s="2"/>
      <c r="R18" s="2"/>
      <c r="S18" s="2"/>
      <c r="T18" s="2"/>
      <c r="U18" s="2"/>
      <c r="V18" s="2"/>
      <c r="W18" s="2"/>
      <c r="X18" s="2"/>
      <c r="Y18" s="2"/>
      <c r="Z18" s="2"/>
      <c r="AA18" s="2"/>
    </row>
    <row r="19" spans="1:27" x14ac:dyDescent="0.25">
      <c r="A19" s="154"/>
      <c r="B19" s="144"/>
      <c r="C19" s="145"/>
      <c r="D19" s="145"/>
      <c r="E19" s="145"/>
      <c r="F19" s="145"/>
      <c r="G19" s="145"/>
      <c r="H19" s="145"/>
      <c r="I19" s="145"/>
      <c r="J19" s="145"/>
      <c r="K19" s="145"/>
      <c r="L19" s="145"/>
      <c r="M19" s="145"/>
      <c r="N19" s="146"/>
      <c r="O19" s="155"/>
      <c r="P19" s="2"/>
      <c r="Q19" s="2"/>
      <c r="R19" s="2"/>
      <c r="S19" s="2"/>
      <c r="T19" s="2"/>
      <c r="U19" s="2"/>
      <c r="V19" s="2"/>
      <c r="W19" s="2"/>
      <c r="X19" s="2"/>
      <c r="Y19" s="2"/>
      <c r="Z19" s="2"/>
      <c r="AA19" s="2"/>
    </row>
    <row r="20" spans="1:27" ht="16.5" thickBot="1" x14ac:dyDescent="0.3">
      <c r="A20" s="154"/>
      <c r="B20" s="147"/>
      <c r="C20" s="148"/>
      <c r="D20" s="148"/>
      <c r="E20" s="148"/>
      <c r="F20" s="149" t="s">
        <v>553</v>
      </c>
      <c r="G20" s="148"/>
      <c r="H20" s="148"/>
      <c r="I20" s="148"/>
      <c r="J20" s="148"/>
      <c r="K20" s="148"/>
      <c r="L20" s="148"/>
      <c r="M20" s="148"/>
      <c r="N20" s="150"/>
      <c r="O20" s="155"/>
      <c r="P20" s="2"/>
      <c r="Q20" s="2"/>
      <c r="R20" s="2"/>
      <c r="S20" s="2"/>
      <c r="T20" s="2"/>
      <c r="U20" s="2"/>
      <c r="V20" s="2"/>
      <c r="W20" s="2"/>
      <c r="X20" s="2"/>
      <c r="Y20" s="2"/>
      <c r="Z20" s="2"/>
      <c r="AA20" s="2"/>
    </row>
    <row r="21" spans="1:27" ht="15.75" thickBot="1" x14ac:dyDescent="0.3">
      <c r="A21" s="156"/>
      <c r="B21" s="157"/>
      <c r="C21" s="157"/>
      <c r="D21" s="157"/>
      <c r="E21" s="157"/>
      <c r="F21" s="157"/>
      <c r="G21" s="157"/>
      <c r="H21" s="157"/>
      <c r="I21" s="157"/>
      <c r="J21" s="157"/>
      <c r="K21" s="157"/>
      <c r="L21" s="157"/>
      <c r="M21" s="157"/>
      <c r="N21" s="157"/>
      <c r="O21" s="158"/>
      <c r="P21" s="2"/>
      <c r="Q21" s="2"/>
      <c r="R21" s="2"/>
      <c r="S21" s="2"/>
      <c r="T21" s="2"/>
      <c r="U21" s="2"/>
      <c r="V21" s="2"/>
      <c r="W21" s="2"/>
      <c r="X21" s="2"/>
      <c r="Y21" s="2"/>
      <c r="Z21" s="2"/>
      <c r="AA21" s="2"/>
    </row>
    <row r="22" spans="1:27"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row>
    <row r="23" spans="1:27"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row>
    <row r="24" spans="1:27"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row>
  </sheetData>
  <sheetProtection algorithmName="SHA-512" hashValue="xMdQ+jFIc1+w6PA69ZX/MBFLo0MFEI1nfO1YwIgUMhtSVf7UDlGdcCkQAR/26rZH7CVqTBES6WiU36XcTgP85g==" saltValue="v1y/zRONCoFOxB/OKsRMoQ==" spinCount="100000" sheet="1" formatCells="0" formatColumns="0" formatRows="0" insertColumns="0" insertRows="0" insertHyperlinks="0" deleteColumns="0" deleteRows="0" sort="0" autoFilter="0" pivotTables="0"/>
  <mergeCells count="6">
    <mergeCell ref="Q17:V17"/>
    <mergeCell ref="B3:N3"/>
    <mergeCell ref="B5:N5"/>
    <mergeCell ref="Q10:T15"/>
    <mergeCell ref="B4:N4"/>
    <mergeCell ref="Q16:V16"/>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61"/>
  <sheetViews>
    <sheetView zoomScale="95" zoomScaleNormal="95" workbookViewId="0">
      <selection activeCell="I7" sqref="I7:M9"/>
    </sheetView>
  </sheetViews>
  <sheetFormatPr defaultRowHeight="15" x14ac:dyDescent="0.25"/>
  <cols>
    <col min="1" max="1" width="3.42578125" customWidth="1"/>
    <col min="15" max="15" width="3.7109375" customWidth="1"/>
    <col min="16" max="16" width="2.85546875" customWidth="1"/>
    <col min="17" max="17" width="20.42578125" customWidth="1"/>
  </cols>
  <sheetData>
    <row r="1" spans="1:30" x14ac:dyDescent="0.25">
      <c r="A1" s="176"/>
      <c r="B1" s="176"/>
      <c r="C1" s="176"/>
      <c r="D1" s="176"/>
      <c r="E1" s="176"/>
      <c r="F1" s="176"/>
      <c r="G1" s="176"/>
      <c r="H1" s="176"/>
      <c r="I1" s="176"/>
      <c r="J1" s="176"/>
      <c r="K1" s="176"/>
      <c r="L1" s="176"/>
      <c r="M1" s="176"/>
      <c r="N1" s="176"/>
      <c r="O1" s="176"/>
      <c r="P1" s="2"/>
      <c r="Q1" s="2"/>
      <c r="R1" s="2"/>
      <c r="S1" s="2"/>
      <c r="T1" s="2"/>
      <c r="U1" s="2"/>
      <c r="V1" s="2"/>
      <c r="W1" s="2"/>
      <c r="X1" s="2"/>
      <c r="Y1" s="2"/>
      <c r="Z1" s="2"/>
      <c r="AA1" s="2"/>
      <c r="AB1" s="2"/>
      <c r="AC1" s="2"/>
      <c r="AD1" s="2"/>
    </row>
    <row r="2" spans="1:30" x14ac:dyDescent="0.25">
      <c r="A2" s="176"/>
      <c r="B2" s="170"/>
      <c r="C2" s="170"/>
      <c r="D2" s="170"/>
      <c r="E2" s="170"/>
      <c r="F2" s="170"/>
      <c r="G2" s="170"/>
      <c r="H2" s="170"/>
      <c r="I2" s="170"/>
      <c r="J2" s="170"/>
      <c r="K2" s="170"/>
      <c r="L2" s="170"/>
      <c r="M2" s="170"/>
      <c r="N2" s="170"/>
      <c r="O2" s="176"/>
      <c r="P2" s="2"/>
      <c r="Q2" s="2"/>
      <c r="R2" s="2"/>
      <c r="S2" s="2"/>
      <c r="T2" s="2"/>
      <c r="U2" s="2"/>
      <c r="V2" s="2"/>
      <c r="W2" s="2"/>
      <c r="X2" s="2"/>
      <c r="Y2" s="2"/>
      <c r="Z2" s="2"/>
      <c r="AA2" s="2"/>
      <c r="AB2" s="2"/>
      <c r="AC2" s="2"/>
      <c r="AD2" s="2"/>
    </row>
    <row r="3" spans="1:30" ht="18" x14ac:dyDescent="0.25">
      <c r="A3" s="176"/>
      <c r="B3" s="266" t="s">
        <v>490</v>
      </c>
      <c r="C3" s="266"/>
      <c r="D3" s="266"/>
      <c r="E3" s="266"/>
      <c r="F3" s="266"/>
      <c r="G3" s="266"/>
      <c r="H3" s="266"/>
      <c r="I3" s="266"/>
      <c r="J3" s="266"/>
      <c r="K3" s="266"/>
      <c r="L3" s="266"/>
      <c r="M3" s="266"/>
      <c r="N3" s="266"/>
      <c r="O3" s="176"/>
      <c r="P3" s="2"/>
      <c r="Q3" s="228" t="s">
        <v>548</v>
      </c>
      <c r="R3" s="2"/>
      <c r="S3" s="2"/>
      <c r="T3" s="2"/>
      <c r="U3" s="2"/>
      <c r="V3" s="2"/>
      <c r="W3" s="2"/>
      <c r="X3" s="2"/>
      <c r="Y3" s="2"/>
      <c r="Z3" s="2"/>
      <c r="AA3" s="2"/>
      <c r="AB3" s="2"/>
      <c r="AC3" s="2"/>
      <c r="AD3" s="2"/>
    </row>
    <row r="4" spans="1:30" ht="18" x14ac:dyDescent="0.25">
      <c r="A4" s="176"/>
      <c r="B4" s="267" t="s">
        <v>483</v>
      </c>
      <c r="C4" s="267"/>
      <c r="D4" s="267"/>
      <c r="E4" s="267"/>
      <c r="F4" s="267"/>
      <c r="G4" s="267"/>
      <c r="H4" s="267"/>
      <c r="I4" s="267"/>
      <c r="J4" s="267"/>
      <c r="K4" s="267"/>
      <c r="L4" s="267"/>
      <c r="M4" s="267"/>
      <c r="N4" s="267"/>
      <c r="O4" s="176"/>
      <c r="P4" s="2"/>
      <c r="Q4" s="2"/>
      <c r="R4" s="2"/>
      <c r="S4" s="2"/>
      <c r="T4" s="2"/>
      <c r="U4" s="2"/>
      <c r="V4" s="2"/>
      <c r="W4" s="2"/>
      <c r="X4" s="2"/>
      <c r="Y4" s="2"/>
      <c r="Z4" s="2"/>
      <c r="AA4" s="2"/>
      <c r="AB4" s="2"/>
      <c r="AC4" s="2"/>
      <c r="AD4" s="2"/>
    </row>
    <row r="5" spans="1:30" ht="15.75" thickBot="1" x14ac:dyDescent="0.3">
      <c r="A5" s="176"/>
      <c r="B5" s="170"/>
      <c r="C5" s="170"/>
      <c r="D5" s="170"/>
      <c r="E5" s="170"/>
      <c r="F5" s="170"/>
      <c r="G5" s="170"/>
      <c r="H5" s="170"/>
      <c r="I5" s="170"/>
      <c r="J5" s="170"/>
      <c r="K5" s="170"/>
      <c r="L5" s="170"/>
      <c r="M5" s="170"/>
      <c r="N5" s="170"/>
      <c r="O5" s="176"/>
      <c r="P5" s="2"/>
      <c r="Q5" s="228" t="s">
        <v>549</v>
      </c>
      <c r="R5" s="2"/>
      <c r="S5" s="2"/>
      <c r="T5" s="2"/>
      <c r="U5" s="2"/>
      <c r="V5" s="2"/>
      <c r="W5" s="2"/>
      <c r="X5" s="2"/>
      <c r="Y5" s="2"/>
      <c r="Z5" s="2"/>
      <c r="AA5" s="2"/>
      <c r="AB5" s="2"/>
      <c r="AC5" s="2"/>
      <c r="AD5" s="2"/>
    </row>
    <row r="6" spans="1:30" ht="17.25" thickBot="1" x14ac:dyDescent="0.35">
      <c r="A6" s="176"/>
      <c r="B6" s="170"/>
      <c r="C6" s="172" t="s">
        <v>20</v>
      </c>
      <c r="D6" s="172" t="str">
        <f>": "&amp;IDENTITAS!D20</f>
        <v xml:space="preserve">: </v>
      </c>
      <c r="E6" s="172"/>
      <c r="F6" s="172"/>
      <c r="G6" s="170"/>
      <c r="H6" s="170"/>
      <c r="I6" s="268" t="s">
        <v>474</v>
      </c>
      <c r="J6" s="269"/>
      <c r="K6" s="269"/>
      <c r="L6" s="269"/>
      <c r="M6" s="270"/>
      <c r="N6" s="170"/>
      <c r="O6" s="176"/>
      <c r="P6" s="2"/>
      <c r="Q6" s="2"/>
      <c r="R6" s="2"/>
      <c r="S6" s="2"/>
      <c r="T6" s="2"/>
      <c r="U6" s="2"/>
      <c r="V6" s="2"/>
      <c r="W6" s="2"/>
      <c r="X6" s="2"/>
      <c r="Y6" s="2"/>
      <c r="Z6" s="2"/>
      <c r="AA6" s="2"/>
      <c r="AB6" s="2"/>
      <c r="AC6" s="2"/>
      <c r="AD6" s="2"/>
    </row>
    <row r="7" spans="1:30" ht="16.5" customHeight="1" x14ac:dyDescent="0.3">
      <c r="A7" s="176"/>
      <c r="B7" s="170"/>
      <c r="C7" s="172" t="s">
        <v>19</v>
      </c>
      <c r="D7" s="172" t="str">
        <f>": "&amp;IDENTITAS!D19</f>
        <v xml:space="preserve">: </v>
      </c>
      <c r="E7" s="172"/>
      <c r="F7" s="172"/>
      <c r="G7" s="170"/>
      <c r="H7" s="170"/>
      <c r="I7" s="257" t="s">
        <v>493</v>
      </c>
      <c r="J7" s="258"/>
      <c r="K7" s="258"/>
      <c r="L7" s="258"/>
      <c r="M7" s="259"/>
      <c r="N7" s="170"/>
      <c r="O7" s="176"/>
      <c r="P7" s="2"/>
      <c r="Q7" s="2"/>
      <c r="R7" s="2"/>
      <c r="S7" s="2"/>
      <c r="T7" s="2"/>
      <c r="U7" s="2"/>
      <c r="V7" s="2"/>
      <c r="W7" s="2"/>
      <c r="X7" s="2"/>
      <c r="Y7" s="2"/>
      <c r="Z7" s="2"/>
      <c r="AA7" s="2"/>
      <c r="AB7" s="2"/>
      <c r="AC7" s="2"/>
      <c r="AD7" s="2"/>
    </row>
    <row r="8" spans="1:30" ht="15.75" customHeight="1" x14ac:dyDescent="0.3">
      <c r="A8" s="176"/>
      <c r="B8" s="170"/>
      <c r="C8" s="172" t="s">
        <v>492</v>
      </c>
      <c r="D8" s="172" t="str">
        <f>": "&amp;IDENTITAS!D21</f>
        <v xml:space="preserve">: </v>
      </c>
      <c r="E8" s="170"/>
      <c r="F8" s="170"/>
      <c r="G8" s="170"/>
      <c r="H8" s="170"/>
      <c r="I8" s="260"/>
      <c r="J8" s="261"/>
      <c r="K8" s="261"/>
      <c r="L8" s="261"/>
      <c r="M8" s="262"/>
      <c r="N8" s="170"/>
      <c r="O8" s="176"/>
      <c r="P8" s="2"/>
      <c r="Q8" s="2"/>
      <c r="R8" s="2"/>
      <c r="S8" s="2"/>
      <c r="T8" s="2"/>
      <c r="U8" s="2"/>
      <c r="V8" s="2"/>
      <c r="W8" s="2"/>
      <c r="X8" s="2"/>
      <c r="Y8" s="2"/>
      <c r="Z8" s="2"/>
      <c r="AA8" s="2"/>
      <c r="AB8" s="2"/>
      <c r="AC8" s="2"/>
      <c r="AD8" s="2"/>
    </row>
    <row r="9" spans="1:30" ht="15.75" thickBot="1" x14ac:dyDescent="0.3">
      <c r="A9" s="176"/>
      <c r="B9" s="170"/>
      <c r="C9" s="170"/>
      <c r="D9" s="170"/>
      <c r="E9" s="170"/>
      <c r="F9" s="170"/>
      <c r="G9" s="170"/>
      <c r="H9" s="170"/>
      <c r="I9" s="263"/>
      <c r="J9" s="264"/>
      <c r="K9" s="264"/>
      <c r="L9" s="264"/>
      <c r="M9" s="265"/>
      <c r="N9" s="170"/>
      <c r="O9" s="176"/>
      <c r="P9" s="2"/>
      <c r="Q9" s="2"/>
      <c r="R9" s="2"/>
      <c r="S9" s="2"/>
      <c r="T9" s="2"/>
      <c r="U9" s="2"/>
      <c r="V9" s="2"/>
      <c r="W9" s="2"/>
      <c r="X9" s="2"/>
      <c r="Y9" s="2"/>
      <c r="Z9" s="2"/>
      <c r="AA9" s="2"/>
      <c r="AB9" s="2"/>
      <c r="AC9" s="2"/>
      <c r="AD9" s="2"/>
    </row>
    <row r="10" spans="1:30" ht="18" customHeight="1" x14ac:dyDescent="0.3">
      <c r="A10" s="176"/>
      <c r="B10" s="170"/>
      <c r="C10" s="172" t="s">
        <v>428</v>
      </c>
      <c r="D10" s="172"/>
      <c r="E10" s="172" t="str">
        <f>": "&amp;IDENTITAS!H5</f>
        <v xml:space="preserve">: </v>
      </c>
      <c r="F10" s="170"/>
      <c r="G10" s="170"/>
      <c r="H10" s="170"/>
      <c r="I10" s="170"/>
      <c r="J10" s="170"/>
      <c r="K10" s="170"/>
      <c r="L10" s="170"/>
      <c r="M10" s="170"/>
      <c r="N10" s="170"/>
      <c r="O10" s="176"/>
      <c r="P10" s="2"/>
      <c r="Q10" s="2"/>
      <c r="R10" s="2"/>
      <c r="S10" s="2"/>
      <c r="T10" s="2"/>
      <c r="U10" s="2"/>
      <c r="V10" s="2"/>
      <c r="W10" s="2"/>
      <c r="X10" s="2"/>
      <c r="Y10" s="2"/>
      <c r="Z10" s="2"/>
      <c r="AA10" s="2"/>
      <c r="AB10" s="2"/>
      <c r="AC10" s="2"/>
      <c r="AD10" s="2"/>
    </row>
    <row r="11" spans="1:30" ht="18" customHeight="1" thickBot="1" x14ac:dyDescent="0.35">
      <c r="A11" s="176"/>
      <c r="B11" s="170"/>
      <c r="C11" s="172" t="s">
        <v>491</v>
      </c>
      <c r="D11" s="172"/>
      <c r="E11" s="172" t="s">
        <v>5</v>
      </c>
      <c r="F11" s="170"/>
      <c r="G11" s="170"/>
      <c r="H11" s="170"/>
      <c r="I11" s="170"/>
      <c r="J11" s="170"/>
      <c r="K11" s="170"/>
      <c r="L11" s="170"/>
      <c r="M11" s="170"/>
      <c r="N11" s="170"/>
      <c r="O11" s="176"/>
      <c r="P11" s="2"/>
      <c r="Q11" s="2"/>
      <c r="R11" s="2"/>
      <c r="S11" s="2"/>
      <c r="T11" s="2"/>
      <c r="U11" s="2"/>
      <c r="V11" s="2"/>
      <c r="W11" s="2"/>
      <c r="X11" s="2"/>
      <c r="Y11" s="2"/>
      <c r="Z11" s="2"/>
      <c r="AA11" s="2"/>
      <c r="AB11" s="2"/>
      <c r="AC11" s="2"/>
      <c r="AD11" s="2"/>
    </row>
    <row r="12" spans="1:30" ht="15" customHeight="1" x14ac:dyDescent="0.25">
      <c r="A12" s="176"/>
      <c r="B12" s="170"/>
      <c r="C12" s="271"/>
      <c r="D12" s="272"/>
      <c r="E12" s="272"/>
      <c r="F12" s="272"/>
      <c r="G12" s="272"/>
      <c r="H12" s="272"/>
      <c r="I12" s="272"/>
      <c r="J12" s="272"/>
      <c r="K12" s="272"/>
      <c r="L12" s="272"/>
      <c r="M12" s="273"/>
      <c r="N12" s="170"/>
      <c r="O12" s="176"/>
      <c r="P12" s="2"/>
      <c r="Q12" s="2"/>
      <c r="R12" s="2"/>
      <c r="S12" s="2"/>
      <c r="T12" s="2"/>
      <c r="U12" s="2"/>
      <c r="V12" s="2"/>
      <c r="W12" s="2"/>
      <c r="X12" s="2"/>
      <c r="Y12" s="2"/>
      <c r="Z12" s="2"/>
      <c r="AA12" s="2"/>
      <c r="AB12" s="2"/>
      <c r="AC12" s="2"/>
      <c r="AD12" s="2"/>
    </row>
    <row r="13" spans="1:30" x14ac:dyDescent="0.25">
      <c r="A13" s="176"/>
      <c r="B13" s="170"/>
      <c r="C13" s="274"/>
      <c r="D13" s="275"/>
      <c r="E13" s="275"/>
      <c r="F13" s="275"/>
      <c r="G13" s="275"/>
      <c r="H13" s="275"/>
      <c r="I13" s="275"/>
      <c r="J13" s="275"/>
      <c r="K13" s="275"/>
      <c r="L13" s="275"/>
      <c r="M13" s="276"/>
      <c r="N13" s="170"/>
      <c r="O13" s="176"/>
      <c r="P13" s="2"/>
      <c r="Q13" s="2"/>
      <c r="R13" s="2"/>
      <c r="S13" s="2"/>
      <c r="T13" s="2"/>
      <c r="U13" s="2"/>
      <c r="V13" s="2"/>
      <c r="W13" s="2"/>
      <c r="X13" s="2"/>
      <c r="Y13" s="2"/>
      <c r="Z13" s="2"/>
      <c r="AA13" s="2"/>
      <c r="AB13" s="2"/>
      <c r="AC13" s="2"/>
      <c r="AD13" s="2"/>
    </row>
    <row r="14" spans="1:30" x14ac:dyDescent="0.25">
      <c r="A14" s="176"/>
      <c r="B14" s="170"/>
      <c r="C14" s="274"/>
      <c r="D14" s="275"/>
      <c r="E14" s="275"/>
      <c r="F14" s="275"/>
      <c r="G14" s="275"/>
      <c r="H14" s="275"/>
      <c r="I14" s="275"/>
      <c r="J14" s="275"/>
      <c r="K14" s="275"/>
      <c r="L14" s="275"/>
      <c r="M14" s="276"/>
      <c r="N14" s="170"/>
      <c r="O14" s="176"/>
      <c r="P14" s="2"/>
      <c r="Q14" s="2"/>
      <c r="R14" s="2"/>
      <c r="S14" s="2"/>
      <c r="T14" s="2"/>
      <c r="U14" s="2"/>
      <c r="V14" s="2"/>
      <c r="W14" s="2"/>
      <c r="X14" s="2"/>
      <c r="Y14" s="2"/>
      <c r="Z14" s="2"/>
      <c r="AA14" s="2"/>
      <c r="AB14" s="2"/>
      <c r="AC14" s="2"/>
      <c r="AD14" s="2"/>
    </row>
    <row r="15" spans="1:30" x14ac:dyDescent="0.25">
      <c r="A15" s="176"/>
      <c r="B15" s="170"/>
      <c r="C15" s="274"/>
      <c r="D15" s="275"/>
      <c r="E15" s="275"/>
      <c r="F15" s="275"/>
      <c r="G15" s="275"/>
      <c r="H15" s="275"/>
      <c r="I15" s="275"/>
      <c r="J15" s="275"/>
      <c r="K15" s="275"/>
      <c r="L15" s="275"/>
      <c r="M15" s="276"/>
      <c r="N15" s="170"/>
      <c r="O15" s="176"/>
      <c r="P15" s="2"/>
      <c r="Q15" s="2"/>
      <c r="R15" s="2"/>
      <c r="S15" s="2"/>
      <c r="T15" s="2"/>
      <c r="U15" s="2"/>
      <c r="V15" s="2"/>
      <c r="W15" s="2"/>
      <c r="X15" s="2"/>
      <c r="Y15" s="2"/>
      <c r="Z15" s="2"/>
      <c r="AA15" s="2"/>
      <c r="AB15" s="2"/>
      <c r="AC15" s="2"/>
      <c r="AD15" s="2"/>
    </row>
    <row r="16" spans="1:30" x14ac:dyDescent="0.25">
      <c r="A16" s="176"/>
      <c r="B16" s="170"/>
      <c r="C16" s="274"/>
      <c r="D16" s="275"/>
      <c r="E16" s="275"/>
      <c r="F16" s="275"/>
      <c r="G16" s="275"/>
      <c r="H16" s="275"/>
      <c r="I16" s="275"/>
      <c r="J16" s="275"/>
      <c r="K16" s="275"/>
      <c r="L16" s="275"/>
      <c r="M16" s="276"/>
      <c r="N16" s="170"/>
      <c r="O16" s="176"/>
      <c r="P16" s="2"/>
      <c r="Q16" s="2"/>
      <c r="R16" s="2"/>
      <c r="S16" s="2"/>
      <c r="T16" s="2"/>
      <c r="U16" s="2"/>
      <c r="V16" s="2"/>
      <c r="W16" s="2"/>
      <c r="X16" s="2"/>
      <c r="Y16" s="2"/>
      <c r="Z16" s="2"/>
      <c r="AA16" s="2"/>
      <c r="AB16" s="2"/>
      <c r="AC16" s="2"/>
      <c r="AD16" s="2"/>
    </row>
    <row r="17" spans="1:30" ht="15.75" thickBot="1" x14ac:dyDescent="0.3">
      <c r="A17" s="176"/>
      <c r="B17" s="170"/>
      <c r="C17" s="277"/>
      <c r="D17" s="278"/>
      <c r="E17" s="278"/>
      <c r="F17" s="278"/>
      <c r="G17" s="278"/>
      <c r="H17" s="278"/>
      <c r="I17" s="278"/>
      <c r="J17" s="278"/>
      <c r="K17" s="278"/>
      <c r="L17" s="278"/>
      <c r="M17" s="279"/>
      <c r="N17" s="170"/>
      <c r="O17" s="176"/>
      <c r="P17" s="2"/>
      <c r="Q17" s="2"/>
      <c r="R17" s="2"/>
      <c r="S17" s="2"/>
      <c r="T17" s="2"/>
      <c r="U17" s="2"/>
      <c r="V17" s="2"/>
      <c r="W17" s="2"/>
      <c r="X17" s="2"/>
      <c r="Y17" s="2"/>
      <c r="Z17" s="2"/>
      <c r="AA17" s="2"/>
      <c r="AB17" s="2"/>
      <c r="AC17" s="2"/>
      <c r="AD17" s="2"/>
    </row>
    <row r="18" spans="1:30" ht="15.75" thickBot="1" x14ac:dyDescent="0.3">
      <c r="A18" s="176"/>
      <c r="B18" s="170"/>
      <c r="C18" s="179"/>
      <c r="D18" s="179"/>
      <c r="E18" s="179"/>
      <c r="F18" s="179"/>
      <c r="G18" s="179"/>
      <c r="H18" s="179"/>
      <c r="I18" s="179"/>
      <c r="J18" s="179"/>
      <c r="K18" s="179"/>
      <c r="L18" s="179"/>
      <c r="M18" s="179"/>
      <c r="N18" s="170"/>
      <c r="O18" s="176"/>
      <c r="P18" s="2"/>
      <c r="Q18" s="2"/>
      <c r="R18" s="2"/>
      <c r="S18" s="2"/>
      <c r="T18" s="2"/>
      <c r="U18" s="2"/>
      <c r="V18" s="2"/>
      <c r="W18" s="2"/>
      <c r="X18" s="2"/>
      <c r="Y18" s="2"/>
      <c r="Z18" s="2"/>
      <c r="AA18" s="2"/>
      <c r="AB18" s="2"/>
      <c r="AC18" s="2"/>
      <c r="AD18" s="2"/>
    </row>
    <row r="19" spans="1:30" x14ac:dyDescent="0.25">
      <c r="A19" s="176"/>
      <c r="B19" s="170"/>
      <c r="C19" s="170"/>
      <c r="D19" s="170"/>
      <c r="E19" s="170"/>
      <c r="F19" s="170"/>
      <c r="G19" s="170"/>
      <c r="H19" s="170"/>
      <c r="I19" s="170"/>
      <c r="J19" s="170"/>
      <c r="K19" s="170"/>
      <c r="L19" s="170"/>
      <c r="M19" s="170"/>
      <c r="N19" s="170"/>
      <c r="O19" s="176"/>
      <c r="P19" s="2"/>
      <c r="Q19" s="2"/>
      <c r="R19" s="2"/>
      <c r="S19" s="2"/>
      <c r="T19" s="2"/>
      <c r="U19" s="2"/>
      <c r="V19" s="2"/>
      <c r="W19" s="2"/>
      <c r="X19" s="2"/>
      <c r="Y19" s="2"/>
      <c r="Z19" s="2"/>
      <c r="AA19" s="2"/>
      <c r="AB19" s="2"/>
      <c r="AC19" s="2"/>
      <c r="AD19" s="2"/>
    </row>
    <row r="20" spans="1:30" ht="16.5" x14ac:dyDescent="0.3">
      <c r="A20" s="176"/>
      <c r="B20" s="170"/>
      <c r="C20" s="172" t="s">
        <v>444</v>
      </c>
      <c r="D20" s="170"/>
      <c r="E20" s="172" t="str">
        <f>": "&amp;IDENTITAS!H7</f>
        <v xml:space="preserve">: </v>
      </c>
      <c r="F20" s="170"/>
      <c r="G20" s="170"/>
      <c r="H20" s="170"/>
      <c r="I20" s="170"/>
      <c r="J20" s="170"/>
      <c r="K20" s="170"/>
      <c r="L20" s="170"/>
      <c r="M20" s="170"/>
      <c r="N20" s="170"/>
      <c r="O20" s="176"/>
      <c r="P20" s="2"/>
      <c r="Q20" s="2"/>
      <c r="R20" s="2"/>
      <c r="S20" s="2"/>
      <c r="T20" s="2"/>
      <c r="U20" s="2"/>
      <c r="V20" s="2"/>
      <c r="W20" s="2"/>
      <c r="X20" s="2"/>
      <c r="Y20" s="2"/>
      <c r="Z20" s="2"/>
      <c r="AA20" s="2"/>
      <c r="AB20" s="2"/>
      <c r="AC20" s="2"/>
      <c r="AD20" s="2"/>
    </row>
    <row r="21" spans="1:30" ht="17.25" thickBot="1" x14ac:dyDescent="0.35">
      <c r="A21" s="176"/>
      <c r="B21" s="170"/>
      <c r="C21" s="172" t="s">
        <v>491</v>
      </c>
      <c r="D21" s="170"/>
      <c r="E21" s="172" t="s">
        <v>5</v>
      </c>
      <c r="F21" s="170"/>
      <c r="G21" s="170"/>
      <c r="H21" s="170"/>
      <c r="I21" s="170"/>
      <c r="J21" s="170"/>
      <c r="K21" s="170"/>
      <c r="L21" s="170"/>
      <c r="M21" s="170"/>
      <c r="N21" s="170"/>
      <c r="O21" s="176"/>
      <c r="P21" s="2"/>
      <c r="Q21" s="2"/>
      <c r="R21" s="2"/>
      <c r="S21" s="2"/>
      <c r="T21" s="2"/>
      <c r="U21" s="2"/>
      <c r="V21" s="2"/>
      <c r="W21" s="2"/>
      <c r="X21" s="2"/>
      <c r="Y21" s="2"/>
      <c r="Z21" s="2"/>
      <c r="AA21" s="2"/>
      <c r="AB21" s="2"/>
      <c r="AC21" s="2"/>
      <c r="AD21" s="2"/>
    </row>
    <row r="22" spans="1:30" x14ac:dyDescent="0.25">
      <c r="A22" s="176"/>
      <c r="B22" s="170"/>
      <c r="C22" s="248"/>
      <c r="D22" s="249"/>
      <c r="E22" s="249"/>
      <c r="F22" s="249"/>
      <c r="G22" s="249"/>
      <c r="H22" s="249"/>
      <c r="I22" s="249"/>
      <c r="J22" s="249"/>
      <c r="K22" s="249"/>
      <c r="L22" s="249"/>
      <c r="M22" s="250"/>
      <c r="N22" s="170"/>
      <c r="O22" s="176"/>
      <c r="P22" s="2"/>
      <c r="Q22" s="2"/>
      <c r="R22" s="2"/>
      <c r="S22" s="2"/>
      <c r="T22" s="2"/>
      <c r="U22" s="2"/>
      <c r="V22" s="2"/>
      <c r="W22" s="2"/>
      <c r="X22" s="2"/>
      <c r="Y22" s="2"/>
      <c r="Z22" s="2"/>
      <c r="AA22" s="2"/>
      <c r="AB22" s="2"/>
      <c r="AC22" s="2"/>
      <c r="AD22" s="2"/>
    </row>
    <row r="23" spans="1:30" x14ac:dyDescent="0.25">
      <c r="A23" s="176"/>
      <c r="B23" s="170"/>
      <c r="C23" s="251"/>
      <c r="D23" s="252"/>
      <c r="E23" s="252"/>
      <c r="F23" s="252"/>
      <c r="G23" s="252"/>
      <c r="H23" s="252"/>
      <c r="I23" s="252"/>
      <c r="J23" s="252"/>
      <c r="K23" s="252"/>
      <c r="L23" s="252"/>
      <c r="M23" s="253"/>
      <c r="N23" s="170"/>
      <c r="O23" s="176"/>
      <c r="P23" s="2"/>
      <c r="Q23" s="2"/>
      <c r="R23" s="2"/>
      <c r="S23" s="2"/>
      <c r="T23" s="2"/>
      <c r="U23" s="2"/>
      <c r="V23" s="2"/>
      <c r="W23" s="2"/>
      <c r="X23" s="2"/>
      <c r="Y23" s="2"/>
      <c r="Z23" s="2"/>
      <c r="AA23" s="2"/>
      <c r="AB23" s="2"/>
      <c r="AC23" s="2"/>
      <c r="AD23" s="2"/>
    </row>
    <row r="24" spans="1:30" x14ac:dyDescent="0.25">
      <c r="A24" s="176"/>
      <c r="B24" s="170"/>
      <c r="C24" s="251"/>
      <c r="D24" s="252"/>
      <c r="E24" s="252"/>
      <c r="F24" s="252"/>
      <c r="G24" s="252"/>
      <c r="H24" s="252"/>
      <c r="I24" s="252"/>
      <c r="J24" s="252"/>
      <c r="K24" s="252"/>
      <c r="L24" s="252"/>
      <c r="M24" s="253"/>
      <c r="N24" s="170"/>
      <c r="O24" s="176"/>
      <c r="P24" s="2"/>
      <c r="Q24" s="2"/>
      <c r="R24" s="2"/>
      <c r="S24" s="2"/>
      <c r="T24" s="2"/>
      <c r="U24" s="2"/>
      <c r="V24" s="2"/>
      <c r="W24" s="2"/>
      <c r="X24" s="2"/>
      <c r="Y24" s="2"/>
      <c r="Z24" s="2"/>
      <c r="AA24" s="2"/>
      <c r="AB24" s="2"/>
      <c r="AC24" s="2"/>
      <c r="AD24" s="2"/>
    </row>
    <row r="25" spans="1:30" x14ac:dyDescent="0.25">
      <c r="A25" s="176"/>
      <c r="B25" s="170"/>
      <c r="C25" s="251"/>
      <c r="D25" s="252"/>
      <c r="E25" s="252"/>
      <c r="F25" s="252"/>
      <c r="G25" s="252"/>
      <c r="H25" s="252"/>
      <c r="I25" s="252"/>
      <c r="J25" s="252"/>
      <c r="K25" s="252"/>
      <c r="L25" s="252"/>
      <c r="M25" s="253"/>
      <c r="N25" s="170"/>
      <c r="O25" s="176"/>
      <c r="P25" s="2"/>
      <c r="Q25" s="2"/>
      <c r="R25" s="2"/>
      <c r="S25" s="2"/>
      <c r="T25" s="2"/>
      <c r="U25" s="2"/>
      <c r="V25" s="2"/>
      <c r="W25" s="2"/>
      <c r="X25" s="2"/>
      <c r="Y25" s="2"/>
      <c r="Z25" s="2"/>
      <c r="AA25" s="2"/>
      <c r="AB25" s="2"/>
      <c r="AC25" s="2"/>
      <c r="AD25" s="2"/>
    </row>
    <row r="26" spans="1:30" x14ac:dyDescent="0.25">
      <c r="A26" s="176"/>
      <c r="B26" s="170"/>
      <c r="C26" s="251"/>
      <c r="D26" s="252"/>
      <c r="E26" s="252"/>
      <c r="F26" s="252"/>
      <c r="G26" s="252"/>
      <c r="H26" s="252"/>
      <c r="I26" s="252"/>
      <c r="J26" s="252"/>
      <c r="K26" s="252"/>
      <c r="L26" s="252"/>
      <c r="M26" s="253"/>
      <c r="N26" s="170"/>
      <c r="O26" s="176"/>
      <c r="P26" s="2"/>
      <c r="Q26" s="2"/>
      <c r="R26" s="2"/>
      <c r="S26" s="2"/>
      <c r="T26" s="2"/>
      <c r="U26" s="2"/>
      <c r="V26" s="2"/>
      <c r="W26" s="2"/>
      <c r="X26" s="2"/>
      <c r="Y26" s="2"/>
      <c r="Z26" s="2"/>
      <c r="AA26" s="2"/>
      <c r="AB26" s="2"/>
      <c r="AC26" s="2"/>
      <c r="AD26" s="2"/>
    </row>
    <row r="27" spans="1:30" ht="15.75" thickBot="1" x14ac:dyDescent="0.3">
      <c r="A27" s="176"/>
      <c r="B27" s="170"/>
      <c r="C27" s="254"/>
      <c r="D27" s="255"/>
      <c r="E27" s="255"/>
      <c r="F27" s="255"/>
      <c r="G27" s="255"/>
      <c r="H27" s="255"/>
      <c r="I27" s="255"/>
      <c r="J27" s="255"/>
      <c r="K27" s="255"/>
      <c r="L27" s="255"/>
      <c r="M27" s="256"/>
      <c r="N27" s="170"/>
      <c r="O27" s="176"/>
      <c r="P27" s="2"/>
      <c r="Q27" s="2"/>
      <c r="R27" s="2"/>
      <c r="S27" s="2"/>
      <c r="T27" s="2"/>
      <c r="U27" s="2"/>
      <c r="V27" s="2"/>
      <c r="W27" s="2"/>
      <c r="X27" s="2"/>
      <c r="Y27" s="2"/>
      <c r="Z27" s="2"/>
      <c r="AA27" s="2"/>
      <c r="AB27" s="2"/>
      <c r="AC27" s="2"/>
      <c r="AD27" s="2"/>
    </row>
    <row r="28" spans="1:30" ht="15.75" thickBot="1" x14ac:dyDescent="0.3">
      <c r="A28" s="176"/>
      <c r="B28" s="170"/>
      <c r="C28" s="179"/>
      <c r="D28" s="179"/>
      <c r="E28" s="179"/>
      <c r="F28" s="179"/>
      <c r="G28" s="179"/>
      <c r="H28" s="179"/>
      <c r="I28" s="179"/>
      <c r="J28" s="179"/>
      <c r="K28" s="179"/>
      <c r="L28" s="179"/>
      <c r="M28" s="179"/>
      <c r="N28" s="170"/>
      <c r="O28" s="176"/>
      <c r="P28" s="2"/>
      <c r="Q28" s="2"/>
      <c r="R28" s="2"/>
      <c r="S28" s="2"/>
      <c r="T28" s="2"/>
      <c r="U28" s="2"/>
      <c r="V28" s="2"/>
      <c r="W28" s="2"/>
      <c r="X28" s="2"/>
      <c r="Y28" s="2"/>
      <c r="Z28" s="2"/>
      <c r="AA28" s="2"/>
      <c r="AB28" s="2"/>
      <c r="AC28" s="2"/>
      <c r="AD28" s="2"/>
    </row>
    <row r="29" spans="1:30" x14ac:dyDescent="0.25">
      <c r="A29" s="176"/>
      <c r="B29" s="170"/>
      <c r="C29" s="170"/>
      <c r="D29" s="170"/>
      <c r="E29" s="170"/>
      <c r="F29" s="170"/>
      <c r="G29" s="170"/>
      <c r="H29" s="170"/>
      <c r="I29" s="170"/>
      <c r="J29" s="170"/>
      <c r="K29" s="170"/>
      <c r="L29" s="170"/>
      <c r="M29" s="170"/>
      <c r="N29" s="170"/>
      <c r="O29" s="176"/>
      <c r="P29" s="2"/>
      <c r="Q29" s="2"/>
      <c r="R29" s="2"/>
      <c r="S29" s="2"/>
      <c r="T29" s="2"/>
      <c r="U29" s="2"/>
      <c r="V29" s="2"/>
      <c r="W29" s="2"/>
      <c r="X29" s="2"/>
      <c r="Y29" s="2"/>
      <c r="Z29" s="2"/>
      <c r="AA29" s="2"/>
      <c r="AB29" s="2"/>
      <c r="AC29" s="2"/>
      <c r="AD29" s="2"/>
    </row>
    <row r="30" spans="1:30" ht="16.5" x14ac:dyDescent="0.3">
      <c r="A30" s="176"/>
      <c r="B30" s="170"/>
      <c r="C30" s="172" t="s">
        <v>446</v>
      </c>
      <c r="D30" s="170"/>
      <c r="E30" s="172" t="str">
        <f>": "&amp;IDENTITAS!H9</f>
        <v xml:space="preserve">: </v>
      </c>
      <c r="F30" s="170"/>
      <c r="G30" s="170"/>
      <c r="H30" s="170"/>
      <c r="I30" s="170"/>
      <c r="J30" s="170"/>
      <c r="K30" s="170"/>
      <c r="L30" s="170"/>
      <c r="M30" s="170"/>
      <c r="N30" s="170"/>
      <c r="O30" s="176"/>
      <c r="P30" s="2"/>
      <c r="Q30" s="2"/>
      <c r="R30" s="2"/>
      <c r="S30" s="2"/>
      <c r="T30" s="2"/>
      <c r="U30" s="2"/>
      <c r="V30" s="2"/>
      <c r="W30" s="2"/>
      <c r="X30" s="2"/>
      <c r="Y30" s="2"/>
      <c r="Z30" s="2"/>
      <c r="AA30" s="2"/>
      <c r="AB30" s="2"/>
      <c r="AC30" s="2"/>
      <c r="AD30" s="2"/>
    </row>
    <row r="31" spans="1:30" ht="17.25" thickBot="1" x14ac:dyDescent="0.35">
      <c r="A31" s="176"/>
      <c r="B31" s="170"/>
      <c r="C31" s="172" t="s">
        <v>491</v>
      </c>
      <c r="D31" s="170"/>
      <c r="E31" s="172" t="s">
        <v>5</v>
      </c>
      <c r="F31" s="170"/>
      <c r="G31" s="170"/>
      <c r="H31" s="170"/>
      <c r="I31" s="170"/>
      <c r="J31" s="170"/>
      <c r="K31" s="170"/>
      <c r="L31" s="170"/>
      <c r="M31" s="170"/>
      <c r="N31" s="170"/>
      <c r="O31" s="176"/>
      <c r="P31" s="2"/>
      <c r="Q31" s="2"/>
      <c r="R31" s="2"/>
      <c r="S31" s="2"/>
      <c r="T31" s="2"/>
      <c r="U31" s="2"/>
      <c r="V31" s="2"/>
      <c r="W31" s="2"/>
      <c r="X31" s="2"/>
      <c r="Y31" s="2"/>
      <c r="Z31" s="2"/>
      <c r="AA31" s="2"/>
      <c r="AB31" s="2"/>
      <c r="AC31" s="2"/>
      <c r="AD31" s="2"/>
    </row>
    <row r="32" spans="1:30" x14ac:dyDescent="0.25">
      <c r="A32" s="176"/>
      <c r="B32" s="170"/>
      <c r="C32" s="248"/>
      <c r="D32" s="249"/>
      <c r="E32" s="249"/>
      <c r="F32" s="249"/>
      <c r="G32" s="249"/>
      <c r="H32" s="249"/>
      <c r="I32" s="249"/>
      <c r="J32" s="249"/>
      <c r="K32" s="249"/>
      <c r="L32" s="249"/>
      <c r="M32" s="250"/>
      <c r="N32" s="170"/>
      <c r="O32" s="176"/>
      <c r="P32" s="2"/>
      <c r="Q32" s="2"/>
      <c r="R32" s="2"/>
      <c r="S32" s="2"/>
      <c r="T32" s="2"/>
      <c r="U32" s="2"/>
      <c r="V32" s="2"/>
      <c r="W32" s="2"/>
      <c r="X32" s="2"/>
      <c r="Y32" s="2"/>
      <c r="Z32" s="2"/>
      <c r="AA32" s="2"/>
      <c r="AB32" s="2"/>
      <c r="AC32" s="2"/>
      <c r="AD32" s="2"/>
    </row>
    <row r="33" spans="1:30" x14ac:dyDescent="0.25">
      <c r="A33" s="176"/>
      <c r="B33" s="170"/>
      <c r="C33" s="251"/>
      <c r="D33" s="252"/>
      <c r="E33" s="252"/>
      <c r="F33" s="252"/>
      <c r="G33" s="252"/>
      <c r="H33" s="252"/>
      <c r="I33" s="252"/>
      <c r="J33" s="252"/>
      <c r="K33" s="252"/>
      <c r="L33" s="252"/>
      <c r="M33" s="253"/>
      <c r="N33" s="170"/>
      <c r="O33" s="176"/>
      <c r="P33" s="2"/>
      <c r="Q33" s="2"/>
      <c r="R33" s="2"/>
      <c r="S33" s="2"/>
      <c r="T33" s="2"/>
      <c r="U33" s="2"/>
      <c r="V33" s="2"/>
      <c r="W33" s="2"/>
      <c r="X33" s="2"/>
      <c r="Y33" s="2"/>
      <c r="Z33" s="2"/>
      <c r="AA33" s="2"/>
      <c r="AB33" s="2"/>
      <c r="AC33" s="2"/>
      <c r="AD33" s="2"/>
    </row>
    <row r="34" spans="1:30" x14ac:dyDescent="0.25">
      <c r="A34" s="176"/>
      <c r="B34" s="170"/>
      <c r="C34" s="251"/>
      <c r="D34" s="252"/>
      <c r="E34" s="252"/>
      <c r="F34" s="252"/>
      <c r="G34" s="252"/>
      <c r="H34" s="252"/>
      <c r="I34" s="252"/>
      <c r="J34" s="252"/>
      <c r="K34" s="252"/>
      <c r="L34" s="252"/>
      <c r="M34" s="253"/>
      <c r="N34" s="170"/>
      <c r="O34" s="176"/>
      <c r="P34" s="2"/>
      <c r="Q34" s="2"/>
      <c r="R34" s="2"/>
      <c r="S34" s="2"/>
      <c r="T34" s="2"/>
      <c r="U34" s="2"/>
      <c r="V34" s="2"/>
      <c r="W34" s="2"/>
      <c r="X34" s="2"/>
      <c r="Y34" s="2"/>
      <c r="Z34" s="2"/>
      <c r="AA34" s="2"/>
      <c r="AB34" s="2"/>
      <c r="AC34" s="2"/>
      <c r="AD34" s="2"/>
    </row>
    <row r="35" spans="1:30" x14ac:dyDescent="0.25">
      <c r="A35" s="176"/>
      <c r="B35" s="170"/>
      <c r="C35" s="251"/>
      <c r="D35" s="252"/>
      <c r="E35" s="252"/>
      <c r="F35" s="252"/>
      <c r="G35" s="252"/>
      <c r="H35" s="252"/>
      <c r="I35" s="252"/>
      <c r="J35" s="252"/>
      <c r="K35" s="252"/>
      <c r="L35" s="252"/>
      <c r="M35" s="253"/>
      <c r="N35" s="170"/>
      <c r="O35" s="176"/>
      <c r="P35" s="2"/>
      <c r="Q35" s="2"/>
      <c r="R35" s="2"/>
      <c r="S35" s="2"/>
      <c r="T35" s="2"/>
      <c r="U35" s="2"/>
      <c r="V35" s="2"/>
      <c r="W35" s="2"/>
      <c r="X35" s="2"/>
      <c r="Y35" s="2"/>
      <c r="Z35" s="2"/>
      <c r="AA35" s="2"/>
      <c r="AB35" s="2"/>
      <c r="AC35" s="2"/>
      <c r="AD35" s="2"/>
    </row>
    <row r="36" spans="1:30" x14ac:dyDescent="0.25">
      <c r="A36" s="176"/>
      <c r="B36" s="170"/>
      <c r="C36" s="251"/>
      <c r="D36" s="252"/>
      <c r="E36" s="252"/>
      <c r="F36" s="252"/>
      <c r="G36" s="252"/>
      <c r="H36" s="252"/>
      <c r="I36" s="252"/>
      <c r="J36" s="252"/>
      <c r="K36" s="252"/>
      <c r="L36" s="252"/>
      <c r="M36" s="253"/>
      <c r="N36" s="170"/>
      <c r="O36" s="176"/>
      <c r="P36" s="2"/>
      <c r="Q36" s="2"/>
      <c r="R36" s="2"/>
      <c r="S36" s="2"/>
      <c r="T36" s="2"/>
      <c r="U36" s="2"/>
      <c r="V36" s="2"/>
      <c r="W36" s="2"/>
      <c r="X36" s="2"/>
      <c r="Y36" s="2"/>
      <c r="Z36" s="2"/>
      <c r="AA36" s="2"/>
      <c r="AB36" s="2"/>
      <c r="AC36" s="2"/>
      <c r="AD36" s="2"/>
    </row>
    <row r="37" spans="1:30" ht="15.75" thickBot="1" x14ac:dyDescent="0.3">
      <c r="A37" s="176"/>
      <c r="B37" s="170"/>
      <c r="C37" s="254"/>
      <c r="D37" s="255"/>
      <c r="E37" s="255"/>
      <c r="F37" s="255"/>
      <c r="G37" s="255"/>
      <c r="H37" s="255"/>
      <c r="I37" s="255"/>
      <c r="J37" s="255"/>
      <c r="K37" s="255"/>
      <c r="L37" s="255"/>
      <c r="M37" s="256"/>
      <c r="N37" s="170"/>
      <c r="O37" s="176"/>
      <c r="P37" s="2"/>
      <c r="Q37" s="2"/>
      <c r="R37" s="2"/>
      <c r="S37" s="2"/>
      <c r="T37" s="2"/>
      <c r="U37" s="2"/>
      <c r="V37" s="2"/>
      <c r="W37" s="2"/>
      <c r="X37" s="2"/>
      <c r="Y37" s="2"/>
      <c r="Z37" s="2"/>
      <c r="AA37" s="2"/>
      <c r="AB37" s="2"/>
      <c r="AC37" s="2"/>
      <c r="AD37" s="2"/>
    </row>
    <row r="38" spans="1:30" ht="15.75" thickBot="1" x14ac:dyDescent="0.3">
      <c r="A38" s="176"/>
      <c r="B38" s="170"/>
      <c r="C38" s="179"/>
      <c r="D38" s="179"/>
      <c r="E38" s="179"/>
      <c r="F38" s="179"/>
      <c r="G38" s="179"/>
      <c r="H38" s="179"/>
      <c r="I38" s="179"/>
      <c r="J38" s="179"/>
      <c r="K38" s="179"/>
      <c r="L38" s="179"/>
      <c r="M38" s="179"/>
      <c r="N38" s="170"/>
      <c r="O38" s="176"/>
      <c r="P38" s="2"/>
      <c r="Q38" s="2"/>
      <c r="R38" s="2"/>
      <c r="S38" s="2"/>
      <c r="T38" s="2"/>
      <c r="U38" s="2"/>
      <c r="V38" s="2"/>
      <c r="W38" s="2"/>
      <c r="X38" s="2"/>
      <c r="Y38" s="2"/>
      <c r="Z38" s="2"/>
      <c r="AA38" s="2"/>
      <c r="AB38" s="2"/>
      <c r="AC38" s="2"/>
      <c r="AD38" s="2"/>
    </row>
    <row r="39" spans="1:30" x14ac:dyDescent="0.25">
      <c r="A39" s="176"/>
      <c r="B39" s="170"/>
      <c r="C39" s="170"/>
      <c r="D39" s="170"/>
      <c r="E39" s="170"/>
      <c r="F39" s="170"/>
      <c r="G39" s="170"/>
      <c r="H39" s="170"/>
      <c r="I39" s="170"/>
      <c r="J39" s="170"/>
      <c r="K39" s="170"/>
      <c r="L39" s="170"/>
      <c r="M39" s="170"/>
      <c r="N39" s="170"/>
      <c r="O39" s="176"/>
      <c r="P39" s="2"/>
      <c r="Q39" s="2"/>
      <c r="R39" s="2"/>
      <c r="S39" s="2"/>
      <c r="T39" s="2"/>
      <c r="U39" s="2"/>
      <c r="V39" s="2"/>
      <c r="W39" s="2"/>
      <c r="X39" s="2"/>
      <c r="Y39" s="2"/>
      <c r="Z39" s="2"/>
      <c r="AA39" s="2"/>
      <c r="AB39" s="2"/>
      <c r="AC39" s="2"/>
      <c r="AD39" s="2"/>
    </row>
    <row r="40" spans="1:30" x14ac:dyDescent="0.25">
      <c r="A40" s="176"/>
      <c r="B40" s="170"/>
      <c r="C40" s="170"/>
      <c r="D40" s="170"/>
      <c r="E40" s="170"/>
      <c r="F40" s="170"/>
      <c r="G40" s="170"/>
      <c r="H40" s="170"/>
      <c r="I40" s="170"/>
      <c r="J40" s="170"/>
      <c r="K40" s="170"/>
      <c r="L40" s="170"/>
      <c r="M40" s="170"/>
      <c r="N40" s="170"/>
      <c r="O40" s="176"/>
      <c r="P40" s="2"/>
      <c r="Q40" s="2"/>
      <c r="R40" s="2"/>
      <c r="S40" s="2"/>
      <c r="T40" s="2"/>
      <c r="U40" s="2"/>
      <c r="V40" s="2"/>
      <c r="W40" s="2"/>
      <c r="X40" s="2"/>
      <c r="Y40" s="2"/>
      <c r="Z40" s="2"/>
      <c r="AA40" s="2"/>
      <c r="AB40" s="2"/>
      <c r="AC40" s="2"/>
      <c r="AD40" s="2"/>
    </row>
    <row r="41" spans="1:30" x14ac:dyDescent="0.25">
      <c r="A41" s="176"/>
      <c r="B41" s="176"/>
      <c r="C41" s="176"/>
      <c r="D41" s="176"/>
      <c r="E41" s="176"/>
      <c r="F41" s="176"/>
      <c r="G41" s="176"/>
      <c r="H41" s="176"/>
      <c r="I41" s="176"/>
      <c r="J41" s="176"/>
      <c r="K41" s="176"/>
      <c r="L41" s="176"/>
      <c r="M41" s="176"/>
      <c r="N41" s="176"/>
      <c r="O41" s="176"/>
      <c r="P41" s="2"/>
      <c r="Q41" s="2"/>
      <c r="R41" s="2"/>
      <c r="S41" s="2"/>
      <c r="T41" s="2"/>
      <c r="U41" s="2"/>
      <c r="V41" s="2"/>
      <c r="W41" s="2"/>
      <c r="X41" s="2"/>
      <c r="Y41" s="2"/>
      <c r="Z41" s="2"/>
      <c r="AA41" s="2"/>
      <c r="AB41" s="2"/>
      <c r="AC41" s="2"/>
      <c r="AD41" s="2"/>
    </row>
    <row r="42" spans="1:30"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row>
    <row r="43" spans="1:30"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row>
    <row r="44" spans="1:30"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row>
    <row r="45" spans="1:30"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row>
    <row r="46" spans="1:30"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row>
    <row r="47" spans="1:30"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row>
    <row r="48" spans="1:30"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row>
    <row r="49" spans="1:30"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row>
    <row r="50" spans="1:30"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row>
    <row r="51" spans="1:30"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row>
    <row r="52" spans="1:30" x14ac:dyDescent="0.25">
      <c r="A52" s="2"/>
      <c r="B52" s="2"/>
      <c r="C52" s="2"/>
      <c r="D52" s="2"/>
      <c r="E52" s="2"/>
      <c r="F52" s="2"/>
      <c r="G52" s="2"/>
      <c r="H52" s="2"/>
      <c r="I52" s="2"/>
      <c r="J52" s="2"/>
      <c r="K52" s="2"/>
      <c r="L52" s="2"/>
      <c r="M52" s="2"/>
      <c r="N52" s="2"/>
      <c r="O52" s="2"/>
      <c r="P52" s="2"/>
      <c r="Q52" s="2"/>
      <c r="R52" s="2"/>
      <c r="S52" s="2"/>
      <c r="T52" s="2"/>
      <c r="U52" s="2"/>
      <c r="V52" s="2"/>
    </row>
    <row r="53" spans="1:30" x14ac:dyDescent="0.25">
      <c r="A53" s="2"/>
      <c r="B53" s="2"/>
      <c r="C53" s="2"/>
      <c r="D53" s="2"/>
      <c r="E53" s="2"/>
      <c r="F53" s="2"/>
      <c r="G53" s="2"/>
      <c r="H53" s="2"/>
      <c r="I53" s="2"/>
      <c r="J53" s="2"/>
      <c r="K53" s="2"/>
      <c r="L53" s="2"/>
      <c r="M53" s="2"/>
      <c r="N53" s="2"/>
      <c r="O53" s="2"/>
      <c r="P53" s="2"/>
      <c r="Q53" s="2"/>
      <c r="R53" s="2"/>
      <c r="S53" s="2"/>
      <c r="T53" s="2"/>
      <c r="U53" s="2"/>
      <c r="V53" s="2"/>
    </row>
    <row r="54" spans="1:30" x14ac:dyDescent="0.25">
      <c r="A54" s="2"/>
      <c r="B54" s="2"/>
      <c r="C54" s="2"/>
      <c r="D54" s="2"/>
      <c r="E54" s="2"/>
      <c r="F54" s="2"/>
      <c r="G54" s="2"/>
      <c r="H54" s="2"/>
      <c r="I54" s="2"/>
      <c r="J54" s="2"/>
      <c r="K54" s="2"/>
      <c r="L54" s="2"/>
      <c r="M54" s="2"/>
      <c r="N54" s="2"/>
      <c r="O54" s="2"/>
      <c r="P54" s="2"/>
      <c r="Q54" s="2"/>
      <c r="R54" s="2"/>
      <c r="S54" s="2"/>
      <c r="T54" s="2"/>
      <c r="U54" s="2"/>
      <c r="V54" s="2"/>
    </row>
    <row r="55" spans="1:30" x14ac:dyDescent="0.25">
      <c r="A55" s="2"/>
      <c r="B55" s="2"/>
      <c r="C55" s="2"/>
      <c r="D55" s="2"/>
      <c r="E55" s="2"/>
      <c r="F55" s="2"/>
      <c r="G55" s="2"/>
      <c r="H55" s="2"/>
      <c r="I55" s="2"/>
      <c r="J55" s="2"/>
      <c r="K55" s="2"/>
      <c r="L55" s="2"/>
      <c r="M55" s="2"/>
      <c r="N55" s="2"/>
      <c r="O55" s="2"/>
      <c r="P55" s="2"/>
      <c r="Q55" s="2"/>
      <c r="R55" s="2"/>
      <c r="S55" s="2"/>
      <c r="T55" s="2"/>
      <c r="U55" s="2"/>
      <c r="V55" s="2"/>
    </row>
    <row r="56" spans="1:30" x14ac:dyDescent="0.25">
      <c r="A56" s="2"/>
      <c r="B56" s="2"/>
      <c r="C56" s="2"/>
      <c r="D56" s="2"/>
      <c r="E56" s="2"/>
      <c r="F56" s="2"/>
      <c r="G56" s="2"/>
      <c r="H56" s="2"/>
      <c r="I56" s="2"/>
      <c r="J56" s="2"/>
      <c r="K56" s="2"/>
      <c r="L56" s="2"/>
      <c r="M56" s="2"/>
      <c r="N56" s="2"/>
      <c r="O56" s="2"/>
      <c r="P56" s="2"/>
      <c r="Q56" s="2"/>
      <c r="R56" s="2"/>
      <c r="S56" s="2"/>
      <c r="T56" s="2"/>
      <c r="U56" s="2"/>
      <c r="V56" s="2"/>
    </row>
    <row r="57" spans="1:30" x14ac:dyDescent="0.25">
      <c r="A57" s="2"/>
      <c r="B57" s="2"/>
      <c r="C57" s="2"/>
      <c r="D57" s="2"/>
      <c r="E57" s="2"/>
      <c r="F57" s="2"/>
      <c r="G57" s="2"/>
      <c r="H57" s="2"/>
      <c r="I57" s="2"/>
      <c r="J57" s="2"/>
      <c r="K57" s="2"/>
      <c r="L57" s="2"/>
      <c r="M57" s="2"/>
      <c r="N57" s="2"/>
      <c r="O57" s="2"/>
      <c r="P57" s="2"/>
      <c r="Q57" s="2"/>
      <c r="R57" s="2"/>
      <c r="S57" s="2"/>
      <c r="T57" s="2"/>
      <c r="U57" s="2"/>
      <c r="V57" s="2"/>
    </row>
    <row r="58" spans="1:30" x14ac:dyDescent="0.25">
      <c r="A58" s="2"/>
      <c r="B58" s="2"/>
      <c r="C58" s="2"/>
      <c r="D58" s="2"/>
      <c r="E58" s="2"/>
      <c r="F58" s="2"/>
      <c r="G58" s="2"/>
      <c r="H58" s="2"/>
      <c r="I58" s="2"/>
      <c r="J58" s="2"/>
      <c r="K58" s="2"/>
      <c r="L58" s="2"/>
      <c r="M58" s="2"/>
      <c r="N58" s="2"/>
      <c r="O58" s="2"/>
      <c r="P58" s="2"/>
      <c r="Q58" s="2"/>
      <c r="R58" s="2"/>
      <c r="S58" s="2"/>
      <c r="T58" s="2"/>
      <c r="U58" s="2"/>
      <c r="V58" s="2"/>
    </row>
    <row r="59" spans="1:30" x14ac:dyDescent="0.25">
      <c r="A59" s="2"/>
      <c r="B59" s="2"/>
      <c r="C59" s="2"/>
      <c r="D59" s="2"/>
      <c r="E59" s="2"/>
      <c r="F59" s="2"/>
      <c r="G59" s="2"/>
      <c r="H59" s="2"/>
      <c r="I59" s="2"/>
      <c r="J59" s="2"/>
      <c r="K59" s="2"/>
      <c r="L59" s="2"/>
      <c r="M59" s="2"/>
      <c r="N59" s="2"/>
      <c r="O59" s="2"/>
      <c r="P59" s="2"/>
      <c r="Q59" s="2"/>
      <c r="R59" s="2"/>
      <c r="S59" s="2"/>
      <c r="T59" s="2"/>
      <c r="U59" s="2"/>
      <c r="V59" s="2"/>
    </row>
    <row r="60" spans="1:30" x14ac:dyDescent="0.25">
      <c r="A60" s="2"/>
      <c r="B60" s="2"/>
      <c r="C60" s="2"/>
      <c r="D60" s="2"/>
      <c r="E60" s="2"/>
      <c r="F60" s="2"/>
      <c r="G60" s="2"/>
      <c r="H60" s="2"/>
      <c r="I60" s="2"/>
      <c r="J60" s="2"/>
      <c r="K60" s="2"/>
      <c r="L60" s="2"/>
      <c r="M60" s="2"/>
      <c r="N60" s="2"/>
      <c r="O60" s="2"/>
      <c r="P60" s="2"/>
      <c r="Q60" s="2"/>
      <c r="R60" s="2"/>
      <c r="S60" s="2"/>
      <c r="T60" s="2"/>
      <c r="U60" s="2"/>
      <c r="V60" s="2"/>
    </row>
    <row r="61" spans="1:30" x14ac:dyDescent="0.25">
      <c r="A61" s="2"/>
      <c r="B61" s="2"/>
      <c r="C61" s="2"/>
      <c r="D61" s="2"/>
      <c r="E61" s="2"/>
      <c r="F61" s="2"/>
      <c r="G61" s="2"/>
      <c r="H61" s="2"/>
      <c r="I61" s="2"/>
      <c r="J61" s="2"/>
      <c r="K61" s="2"/>
      <c r="L61" s="2"/>
      <c r="M61" s="2"/>
      <c r="N61" s="2"/>
      <c r="O61" s="2"/>
      <c r="P61" s="2"/>
      <c r="Q61" s="2"/>
      <c r="R61" s="2"/>
      <c r="S61" s="2"/>
      <c r="T61" s="2"/>
      <c r="U61" s="2"/>
      <c r="V61" s="2"/>
    </row>
  </sheetData>
  <mergeCells count="7">
    <mergeCell ref="C32:M37"/>
    <mergeCell ref="I7:M9"/>
    <mergeCell ref="B3:N3"/>
    <mergeCell ref="B4:N4"/>
    <mergeCell ref="I6:M6"/>
    <mergeCell ref="C12:M17"/>
    <mergeCell ref="C22:M27"/>
  </mergeCells>
  <pageMargins left="0.7" right="0.7" top="0.75" bottom="0.75" header="0.3" footer="0.3"/>
  <pageSetup paperSize="9"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V26"/>
  <sheetViews>
    <sheetView workbookViewId="0">
      <selection activeCell="H7" sqref="H7"/>
    </sheetView>
  </sheetViews>
  <sheetFormatPr defaultRowHeight="15" x14ac:dyDescent="0.25"/>
  <cols>
    <col min="1" max="1" width="3.85546875" customWidth="1"/>
    <col min="2" max="2" width="5.42578125" customWidth="1"/>
    <col min="4" max="4" width="12.140625" customWidth="1"/>
    <col min="15" max="15" width="4.5703125" customWidth="1"/>
  </cols>
  <sheetData>
    <row r="1" spans="1:22" ht="15" customHeight="1" x14ac:dyDescent="0.25">
      <c r="A1" s="1"/>
      <c r="B1" s="1"/>
      <c r="C1" s="1"/>
      <c r="D1" s="1"/>
      <c r="E1" s="1"/>
      <c r="F1" s="1"/>
      <c r="G1" s="1"/>
      <c r="H1" s="1"/>
      <c r="I1" s="1"/>
      <c r="J1" s="1"/>
      <c r="K1" s="1"/>
      <c r="L1" s="1"/>
      <c r="M1" s="1"/>
      <c r="N1" s="1"/>
      <c r="O1" s="1"/>
      <c r="P1" s="2"/>
      <c r="Q1" s="2"/>
      <c r="R1" s="2"/>
      <c r="S1" s="2"/>
      <c r="T1" s="2"/>
      <c r="U1" s="2"/>
      <c r="V1" s="2"/>
    </row>
    <row r="2" spans="1:22" x14ac:dyDescent="0.25">
      <c r="A2" s="1"/>
      <c r="B2" s="105"/>
      <c r="C2" s="105"/>
      <c r="D2" s="105"/>
      <c r="E2" s="105"/>
      <c r="F2" s="105"/>
      <c r="G2" s="105"/>
      <c r="H2" s="105"/>
      <c r="I2" s="105"/>
      <c r="J2" s="105"/>
      <c r="K2" s="105"/>
      <c r="L2" s="105"/>
      <c r="M2" s="105"/>
      <c r="N2" s="105"/>
      <c r="O2" s="1"/>
      <c r="P2" s="2"/>
      <c r="Q2" s="2"/>
      <c r="R2" s="2"/>
      <c r="S2" s="2"/>
      <c r="T2" s="2"/>
      <c r="U2" s="2"/>
      <c r="V2" s="2"/>
    </row>
    <row r="3" spans="1:22" ht="21.75" customHeight="1" x14ac:dyDescent="0.25">
      <c r="A3" s="1"/>
      <c r="B3" s="106"/>
      <c r="C3" s="280" t="s">
        <v>547</v>
      </c>
      <c r="D3" s="280"/>
      <c r="E3" s="280"/>
      <c r="F3" s="280"/>
      <c r="G3" s="280"/>
      <c r="H3" s="280"/>
      <c r="I3" s="280"/>
      <c r="J3" s="280"/>
      <c r="K3" s="280"/>
      <c r="L3" s="280"/>
      <c r="M3" s="280"/>
      <c r="N3" s="280"/>
      <c r="O3" s="1"/>
      <c r="P3" s="2"/>
      <c r="Q3" s="2"/>
      <c r="R3" s="2"/>
      <c r="S3" s="2"/>
      <c r="T3" s="2"/>
      <c r="U3" s="2"/>
      <c r="V3" s="2"/>
    </row>
    <row r="4" spans="1:22" x14ac:dyDescent="0.25">
      <c r="A4" s="1"/>
      <c r="B4" s="105"/>
      <c r="C4" s="105"/>
      <c r="D4" s="105"/>
      <c r="E4" s="105"/>
      <c r="F4" s="105"/>
      <c r="G4" s="105"/>
      <c r="H4" s="105"/>
      <c r="I4" s="105"/>
      <c r="J4" s="105"/>
      <c r="K4" s="105"/>
      <c r="L4" s="105"/>
      <c r="M4" s="105"/>
      <c r="N4" s="105"/>
      <c r="O4" s="1"/>
      <c r="P4" s="2"/>
      <c r="Q4" s="2"/>
      <c r="R4" s="2"/>
      <c r="S4" s="2"/>
      <c r="T4" s="2"/>
      <c r="U4" s="2"/>
      <c r="V4" s="2"/>
    </row>
    <row r="5" spans="1:22" s="181" customFormat="1" ht="19.5" customHeight="1" x14ac:dyDescent="0.25">
      <c r="A5" s="224"/>
      <c r="B5" s="225"/>
      <c r="C5" s="226" t="s">
        <v>507</v>
      </c>
      <c r="D5" s="226"/>
      <c r="E5" s="226" t="s">
        <v>526</v>
      </c>
      <c r="F5" s="226"/>
      <c r="G5" s="226"/>
      <c r="H5" s="226"/>
      <c r="I5" s="225"/>
      <c r="J5" s="225"/>
      <c r="K5" s="225"/>
      <c r="L5" s="225"/>
      <c r="M5" s="225"/>
      <c r="N5" s="225"/>
      <c r="O5" s="224"/>
      <c r="P5" s="195"/>
      <c r="Q5" s="195"/>
      <c r="R5" s="195"/>
      <c r="S5" s="195"/>
      <c r="T5" s="195"/>
      <c r="U5" s="195"/>
      <c r="V5" s="195"/>
    </row>
    <row r="6" spans="1:22" s="181" customFormat="1" ht="19.5" customHeight="1" x14ac:dyDescent="0.25">
      <c r="A6" s="224"/>
      <c r="B6" s="225"/>
      <c r="C6" s="226" t="s">
        <v>527</v>
      </c>
      <c r="D6" s="226"/>
      <c r="E6" s="226" t="s">
        <v>528</v>
      </c>
      <c r="F6" s="226"/>
      <c r="G6" s="226"/>
      <c r="H6" s="226"/>
      <c r="I6" s="225"/>
      <c r="J6" s="225"/>
      <c r="K6" s="225"/>
      <c r="L6" s="225"/>
      <c r="M6" s="225"/>
      <c r="N6" s="225"/>
      <c r="O6" s="224"/>
      <c r="P6" s="195"/>
      <c r="Q6" s="195"/>
      <c r="R6" s="195"/>
      <c r="S6" s="195"/>
      <c r="T6" s="195"/>
      <c r="U6" s="195"/>
      <c r="V6" s="195"/>
    </row>
    <row r="7" spans="1:22" s="181" customFormat="1" ht="19.5" customHeight="1" x14ac:dyDescent="0.25">
      <c r="A7" s="224"/>
      <c r="B7" s="225"/>
      <c r="C7" s="226" t="s">
        <v>529</v>
      </c>
      <c r="D7" s="226"/>
      <c r="E7" s="226" t="s">
        <v>537</v>
      </c>
      <c r="F7" s="226"/>
      <c r="G7" s="226"/>
      <c r="H7" s="226"/>
      <c r="I7" s="225"/>
      <c r="J7" s="225"/>
      <c r="K7" s="225"/>
      <c r="L7" s="225"/>
      <c r="M7" s="225"/>
      <c r="N7" s="225"/>
      <c r="O7" s="224"/>
      <c r="P7" s="195"/>
      <c r="Q7" s="195"/>
      <c r="R7" s="195"/>
      <c r="S7" s="195"/>
      <c r="T7" s="195"/>
      <c r="U7" s="195"/>
      <c r="V7" s="195"/>
    </row>
    <row r="8" spans="1:22" s="181" customFormat="1" ht="19.5" customHeight="1" x14ac:dyDescent="0.25">
      <c r="A8" s="224"/>
      <c r="B8" s="225"/>
      <c r="C8" s="226" t="s">
        <v>535</v>
      </c>
      <c r="D8" s="226"/>
      <c r="E8" s="226" t="s">
        <v>536</v>
      </c>
      <c r="F8" s="226"/>
      <c r="G8" s="226"/>
      <c r="H8" s="226"/>
      <c r="I8" s="225"/>
      <c r="J8" s="225"/>
      <c r="K8" s="225"/>
      <c r="L8" s="225"/>
      <c r="M8" s="225"/>
      <c r="N8" s="225"/>
      <c r="O8" s="224"/>
      <c r="P8" s="195"/>
      <c r="Q8" s="195"/>
      <c r="R8" s="195"/>
      <c r="S8" s="195"/>
      <c r="T8" s="195"/>
      <c r="U8" s="195"/>
      <c r="V8" s="195"/>
    </row>
    <row r="9" spans="1:22" s="181" customFormat="1" ht="19.5" customHeight="1" x14ac:dyDescent="0.25">
      <c r="A9" s="224"/>
      <c r="B9" s="225"/>
      <c r="C9" s="226" t="s">
        <v>13</v>
      </c>
      <c r="D9" s="226"/>
      <c r="E9" s="226" t="s">
        <v>538</v>
      </c>
      <c r="F9" s="226"/>
      <c r="G9" s="226"/>
      <c r="H9" s="226"/>
      <c r="I9" s="225"/>
      <c r="J9" s="225"/>
      <c r="K9" s="225"/>
      <c r="L9" s="225"/>
      <c r="M9" s="225"/>
      <c r="N9" s="225"/>
      <c r="O9" s="224"/>
      <c r="P9" s="195"/>
      <c r="Q9" s="195"/>
      <c r="R9" s="195"/>
      <c r="S9" s="195"/>
      <c r="T9" s="195"/>
      <c r="U9" s="195"/>
      <c r="V9" s="195"/>
    </row>
    <row r="10" spans="1:22" s="181" customFormat="1" ht="19.5" customHeight="1" x14ac:dyDescent="0.25">
      <c r="A10" s="224"/>
      <c r="B10" s="225"/>
      <c r="C10" s="226" t="s">
        <v>530</v>
      </c>
      <c r="D10" s="226"/>
      <c r="E10" s="226" t="s">
        <v>531</v>
      </c>
      <c r="F10" s="226"/>
      <c r="G10" s="226"/>
      <c r="H10" s="226"/>
      <c r="I10" s="225"/>
      <c r="J10" s="225"/>
      <c r="K10" s="225"/>
      <c r="L10" s="225"/>
      <c r="M10" s="225"/>
      <c r="N10" s="225"/>
      <c r="O10" s="224"/>
      <c r="P10" s="195"/>
      <c r="Q10" s="195"/>
      <c r="R10" s="195"/>
      <c r="S10" s="195"/>
      <c r="T10" s="195"/>
      <c r="U10" s="195"/>
      <c r="V10" s="195"/>
    </row>
    <row r="11" spans="1:22" s="181" customFormat="1" ht="19.5" customHeight="1" x14ac:dyDescent="0.25">
      <c r="A11" s="224"/>
      <c r="B11" s="225"/>
      <c r="C11" s="226" t="s">
        <v>532</v>
      </c>
      <c r="D11" s="226"/>
      <c r="E11" s="226" t="s">
        <v>533</v>
      </c>
      <c r="F11" s="226"/>
      <c r="G11" s="226"/>
      <c r="H11" s="226"/>
      <c r="I11" s="225"/>
      <c r="J11" s="225"/>
      <c r="K11" s="225"/>
      <c r="L11" s="225"/>
      <c r="M11" s="225"/>
      <c r="N11" s="225"/>
      <c r="O11" s="224"/>
      <c r="P11" s="195"/>
      <c r="Q11" s="195"/>
      <c r="R11" s="195"/>
      <c r="S11" s="195"/>
      <c r="T11" s="195"/>
      <c r="U11" s="195"/>
      <c r="V11" s="195"/>
    </row>
    <row r="12" spans="1:22" s="181" customFormat="1" ht="19.5" customHeight="1" x14ac:dyDescent="0.25">
      <c r="A12" s="224"/>
      <c r="B12" s="225"/>
      <c r="C12" s="226" t="s">
        <v>546</v>
      </c>
      <c r="D12" s="226"/>
      <c r="E12" s="226" t="s">
        <v>534</v>
      </c>
      <c r="F12" s="226"/>
      <c r="G12" s="226"/>
      <c r="H12" s="226"/>
      <c r="I12" s="225"/>
      <c r="J12" s="225"/>
      <c r="K12" s="225"/>
      <c r="L12" s="225"/>
      <c r="M12" s="225"/>
      <c r="N12" s="225"/>
      <c r="O12" s="224"/>
      <c r="P12" s="195"/>
      <c r="Q12" s="195"/>
      <c r="R12" s="195"/>
      <c r="S12" s="195"/>
      <c r="T12" s="195"/>
      <c r="U12" s="195"/>
      <c r="V12" s="195"/>
    </row>
    <row r="13" spans="1:22" s="181" customFormat="1" ht="19.5" customHeight="1" x14ac:dyDescent="0.25">
      <c r="A13" s="224"/>
      <c r="B13" s="225"/>
      <c r="C13" s="226" t="s">
        <v>539</v>
      </c>
      <c r="D13" s="226"/>
      <c r="E13" s="226" t="s">
        <v>540</v>
      </c>
      <c r="F13" s="226"/>
      <c r="G13" s="226"/>
      <c r="H13" s="226"/>
      <c r="I13" s="225"/>
      <c r="J13" s="225"/>
      <c r="K13" s="225"/>
      <c r="L13" s="225"/>
      <c r="M13" s="225"/>
      <c r="N13" s="225"/>
      <c r="O13" s="224"/>
      <c r="P13" s="195"/>
      <c r="Q13" s="195"/>
      <c r="R13" s="195"/>
      <c r="S13" s="195"/>
      <c r="T13" s="195"/>
      <c r="U13" s="195"/>
      <c r="V13" s="195"/>
    </row>
    <row r="14" spans="1:22" s="181" customFormat="1" ht="19.5" customHeight="1" x14ac:dyDescent="0.25">
      <c r="A14" s="224"/>
      <c r="B14" s="225"/>
      <c r="C14" s="226" t="s">
        <v>541</v>
      </c>
      <c r="D14" s="226"/>
      <c r="E14" s="226" t="s">
        <v>542</v>
      </c>
      <c r="F14" s="226"/>
      <c r="G14" s="226"/>
      <c r="H14" s="226"/>
      <c r="I14" s="225"/>
      <c r="J14" s="225"/>
      <c r="K14" s="225"/>
      <c r="L14" s="225"/>
      <c r="M14" s="225"/>
      <c r="N14" s="225"/>
      <c r="O14" s="224"/>
      <c r="P14" s="195"/>
      <c r="Q14" s="195"/>
      <c r="R14" s="195"/>
      <c r="S14" s="195"/>
      <c r="T14" s="195"/>
      <c r="U14" s="195"/>
      <c r="V14" s="195"/>
    </row>
    <row r="15" spans="1:22" ht="19.5" customHeight="1" x14ac:dyDescent="0.25">
      <c r="A15" s="1"/>
      <c r="B15" s="105"/>
      <c r="C15" s="227" t="s">
        <v>543</v>
      </c>
      <c r="D15" s="227"/>
      <c r="E15" s="227" t="s">
        <v>544</v>
      </c>
      <c r="F15" s="227"/>
      <c r="G15" s="105"/>
      <c r="H15" s="105"/>
      <c r="I15" s="105"/>
      <c r="J15" s="105"/>
      <c r="K15" s="105"/>
      <c r="L15" s="105"/>
      <c r="M15" s="105"/>
      <c r="N15" s="105"/>
      <c r="O15" s="1"/>
      <c r="P15" s="2"/>
      <c r="Q15" s="2"/>
      <c r="R15" s="2"/>
      <c r="S15" s="2"/>
      <c r="T15" s="2"/>
      <c r="U15" s="2"/>
      <c r="V15" s="2"/>
    </row>
    <row r="16" spans="1:22" ht="19.5" customHeight="1" x14ac:dyDescent="0.25">
      <c r="A16" s="1"/>
      <c r="B16" s="105"/>
      <c r="C16" s="227"/>
      <c r="D16" s="227"/>
      <c r="E16" s="227" t="s">
        <v>545</v>
      </c>
      <c r="F16" s="227"/>
      <c r="G16" s="105"/>
      <c r="H16" s="105"/>
      <c r="I16" s="105"/>
      <c r="J16" s="105"/>
      <c r="K16" s="105"/>
      <c r="L16" s="105"/>
      <c r="M16" s="105"/>
      <c r="N16" s="105"/>
      <c r="O16" s="1"/>
      <c r="P16" s="2"/>
      <c r="Q16" s="2"/>
      <c r="R16" s="2"/>
      <c r="S16" s="2"/>
      <c r="T16" s="2"/>
      <c r="U16" s="2"/>
      <c r="V16" s="2"/>
    </row>
    <row r="17" spans="1:22" ht="19.5" customHeight="1" x14ac:dyDescent="0.25">
      <c r="A17" s="1"/>
      <c r="B17" s="1"/>
      <c r="C17" s="1"/>
      <c r="D17" s="1"/>
      <c r="E17" s="1"/>
      <c r="F17" s="1"/>
      <c r="G17" s="1"/>
      <c r="H17" s="1"/>
      <c r="I17" s="1"/>
      <c r="J17" s="1"/>
      <c r="K17" s="1"/>
      <c r="L17" s="1"/>
      <c r="M17" s="1"/>
      <c r="N17" s="1"/>
      <c r="O17" s="1"/>
      <c r="P17" s="2"/>
      <c r="Q17" s="2"/>
      <c r="R17" s="2"/>
      <c r="S17" s="2"/>
      <c r="T17" s="2"/>
      <c r="U17" s="2"/>
      <c r="V17" s="2"/>
    </row>
    <row r="18" spans="1:22" x14ac:dyDescent="0.25">
      <c r="A18" s="2"/>
      <c r="B18" s="2"/>
      <c r="C18" s="2"/>
      <c r="D18" s="2"/>
      <c r="E18" s="2"/>
      <c r="F18" s="2"/>
      <c r="G18" s="2"/>
      <c r="H18" s="2"/>
      <c r="I18" s="2"/>
      <c r="J18" s="2"/>
      <c r="K18" s="2"/>
      <c r="L18" s="2"/>
      <c r="M18" s="2"/>
      <c r="N18" s="2"/>
      <c r="O18" s="2"/>
      <c r="P18" s="2"/>
      <c r="Q18" s="2"/>
      <c r="R18" s="2"/>
      <c r="S18" s="2"/>
      <c r="T18" s="2"/>
      <c r="U18" s="2"/>
      <c r="V18" s="2"/>
    </row>
    <row r="19" spans="1:22" x14ac:dyDescent="0.25">
      <c r="A19" s="2"/>
      <c r="B19" s="2"/>
      <c r="C19" s="2"/>
      <c r="D19" s="2"/>
      <c r="E19" s="2"/>
      <c r="F19" s="2"/>
      <c r="G19" s="2"/>
      <c r="H19" s="2"/>
      <c r="I19" s="2"/>
      <c r="J19" s="2"/>
      <c r="K19" s="2"/>
      <c r="L19" s="2"/>
      <c r="M19" s="2"/>
      <c r="N19" s="2"/>
      <c r="O19" s="2"/>
      <c r="P19" s="2"/>
      <c r="Q19" s="2"/>
      <c r="R19" s="2"/>
      <c r="S19" s="2"/>
      <c r="T19" s="2"/>
      <c r="U19" s="2"/>
      <c r="V19" s="2"/>
    </row>
    <row r="20" spans="1:22" x14ac:dyDescent="0.25">
      <c r="A20" s="2"/>
      <c r="B20" s="2"/>
      <c r="C20" s="2"/>
      <c r="D20" s="2"/>
      <c r="E20" s="2"/>
      <c r="F20" s="2"/>
      <c r="G20" s="2"/>
      <c r="H20" s="2"/>
      <c r="I20" s="2"/>
      <c r="J20" s="2"/>
      <c r="K20" s="2"/>
      <c r="L20" s="2"/>
      <c r="M20" s="2"/>
      <c r="N20" s="2"/>
      <c r="O20" s="2"/>
      <c r="P20" s="2"/>
      <c r="Q20" s="2"/>
      <c r="R20" s="2"/>
      <c r="S20" s="2"/>
      <c r="T20" s="2"/>
      <c r="U20" s="2"/>
      <c r="V20" s="2"/>
    </row>
    <row r="21" spans="1:22" x14ac:dyDescent="0.25">
      <c r="A21" s="2"/>
      <c r="B21" s="2"/>
      <c r="C21" s="2"/>
      <c r="D21" s="2"/>
      <c r="E21" s="2"/>
      <c r="F21" s="2"/>
      <c r="G21" s="2"/>
      <c r="H21" s="2"/>
      <c r="I21" s="2"/>
      <c r="J21" s="2"/>
      <c r="K21" s="2"/>
      <c r="L21" s="2"/>
      <c r="M21" s="2"/>
      <c r="N21" s="2"/>
      <c r="O21" s="2"/>
      <c r="P21" s="2"/>
      <c r="Q21" s="2"/>
      <c r="R21" s="2"/>
      <c r="S21" s="2"/>
      <c r="T21" s="2"/>
      <c r="U21" s="2"/>
      <c r="V21" s="2"/>
    </row>
    <row r="22" spans="1:22" x14ac:dyDescent="0.25">
      <c r="A22" s="2"/>
      <c r="B22" s="2"/>
      <c r="C22" s="2"/>
      <c r="D22" s="2"/>
      <c r="E22" s="2"/>
      <c r="F22" s="2"/>
      <c r="G22" s="2"/>
      <c r="H22" s="2"/>
      <c r="I22" s="2"/>
      <c r="J22" s="2"/>
      <c r="K22" s="2"/>
      <c r="L22" s="2"/>
      <c r="M22" s="2"/>
      <c r="N22" s="2"/>
      <c r="O22" s="2"/>
      <c r="P22" s="2"/>
      <c r="Q22" s="2"/>
      <c r="R22" s="2"/>
      <c r="S22" s="2"/>
      <c r="T22" s="2"/>
      <c r="U22" s="2"/>
      <c r="V22" s="2"/>
    </row>
    <row r="23" spans="1:22" x14ac:dyDescent="0.25">
      <c r="A23" s="2"/>
      <c r="B23" s="2"/>
      <c r="C23" s="2"/>
      <c r="D23" s="2"/>
      <c r="E23" s="2"/>
      <c r="F23" s="2"/>
      <c r="G23" s="2"/>
      <c r="H23" s="2"/>
      <c r="I23" s="2"/>
      <c r="J23" s="2"/>
      <c r="K23" s="2"/>
      <c r="L23" s="2"/>
      <c r="M23" s="2"/>
      <c r="N23" s="2"/>
      <c r="O23" s="2"/>
      <c r="P23" s="2"/>
      <c r="Q23" s="2"/>
      <c r="R23" s="2"/>
      <c r="S23" s="2"/>
      <c r="T23" s="2"/>
      <c r="U23" s="2"/>
      <c r="V23" s="2"/>
    </row>
    <row r="24" spans="1:22" x14ac:dyDescent="0.25">
      <c r="A24" s="2"/>
      <c r="B24" s="2"/>
      <c r="C24" s="2"/>
      <c r="D24" s="2"/>
      <c r="E24" s="2"/>
      <c r="F24" s="2"/>
      <c r="G24" s="2"/>
      <c r="H24" s="2"/>
      <c r="I24" s="2"/>
      <c r="J24" s="2"/>
      <c r="K24" s="2"/>
      <c r="L24" s="2"/>
      <c r="M24" s="2"/>
      <c r="N24" s="2"/>
      <c r="O24" s="2"/>
      <c r="P24" s="2"/>
      <c r="Q24" s="2"/>
      <c r="R24" s="2"/>
      <c r="S24" s="2"/>
      <c r="T24" s="2"/>
      <c r="U24" s="2"/>
      <c r="V24" s="2"/>
    </row>
    <row r="25" spans="1:22" x14ac:dyDescent="0.25">
      <c r="A25" s="2"/>
      <c r="B25" s="2"/>
      <c r="C25" s="2"/>
      <c r="D25" s="2"/>
      <c r="E25" s="2"/>
      <c r="F25" s="2"/>
      <c r="G25" s="2"/>
      <c r="H25" s="2"/>
      <c r="I25" s="2"/>
      <c r="J25" s="2"/>
      <c r="K25" s="2"/>
      <c r="L25" s="2"/>
      <c r="M25" s="2"/>
      <c r="N25" s="2"/>
      <c r="O25" s="2"/>
      <c r="P25" s="2"/>
      <c r="Q25" s="2"/>
      <c r="R25" s="2"/>
      <c r="S25" s="2"/>
      <c r="T25" s="2"/>
      <c r="U25" s="2"/>
      <c r="V25" s="2"/>
    </row>
    <row r="26" spans="1:22" x14ac:dyDescent="0.25">
      <c r="A26" s="2"/>
      <c r="B26" s="2"/>
      <c r="C26" s="2"/>
      <c r="D26" s="2"/>
      <c r="E26" s="2"/>
      <c r="F26" s="2"/>
      <c r="G26" s="2"/>
      <c r="H26" s="2"/>
      <c r="I26" s="2"/>
      <c r="J26" s="2"/>
      <c r="K26" s="2"/>
      <c r="L26" s="2"/>
      <c r="M26" s="2"/>
      <c r="N26" s="2"/>
      <c r="O26" s="2"/>
      <c r="P26" s="2"/>
      <c r="Q26" s="2"/>
      <c r="R26" s="2"/>
      <c r="S26" s="2"/>
      <c r="T26" s="2"/>
      <c r="U26" s="2"/>
      <c r="V26" s="2"/>
    </row>
  </sheetData>
  <sheetProtection password="9C92" sheet="1" objects="1" scenarios="1"/>
  <mergeCells count="1">
    <mergeCell ref="C3:N3"/>
  </mergeCell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9"/>
  <dimension ref="A1:P28"/>
  <sheetViews>
    <sheetView zoomScale="89" zoomScaleNormal="89" workbookViewId="0">
      <selection activeCell="D7" sqref="D7"/>
    </sheetView>
  </sheetViews>
  <sheetFormatPr defaultRowHeight="14.25" x14ac:dyDescent="0.2"/>
  <cols>
    <col min="1" max="1" width="9.140625" style="4"/>
    <col min="2" max="2" width="23.28515625" style="4" customWidth="1"/>
    <col min="3" max="3" width="1.5703125" style="4" customWidth="1"/>
    <col min="4" max="4" width="45.42578125" style="4" customWidth="1"/>
    <col min="5" max="5" width="7" style="4" customWidth="1"/>
    <col min="6" max="6" width="4.5703125" style="4" customWidth="1"/>
    <col min="7" max="7" width="3.7109375" style="16" customWidth="1"/>
    <col min="8" max="8" width="54.7109375" style="4" customWidth="1"/>
    <col min="9" max="9" width="16.85546875" style="4" customWidth="1"/>
    <col min="10" max="16384" width="9.140625" style="4"/>
  </cols>
  <sheetData>
    <row r="1" spans="1:16" ht="15" thickBot="1" x14ac:dyDescent="0.25">
      <c r="A1" s="5"/>
      <c r="B1" s="6"/>
      <c r="C1" s="6"/>
      <c r="D1" s="6"/>
      <c r="E1" s="6"/>
      <c r="F1" s="159"/>
      <c r="G1" s="160"/>
      <c r="H1" s="159"/>
      <c r="I1" s="161"/>
      <c r="J1" s="3"/>
      <c r="K1" s="3"/>
      <c r="L1" s="3"/>
      <c r="M1" s="3"/>
      <c r="N1" s="3"/>
      <c r="O1" s="3"/>
      <c r="P1" s="3"/>
    </row>
    <row r="2" spans="1:16" ht="21" thickBot="1" x14ac:dyDescent="0.35">
      <c r="A2" s="287" t="s">
        <v>4</v>
      </c>
      <c r="B2" s="288"/>
      <c r="C2" s="288"/>
      <c r="D2" s="288"/>
      <c r="E2" s="288"/>
      <c r="F2" s="288"/>
      <c r="G2" s="288"/>
      <c r="H2" s="288"/>
      <c r="I2" s="289"/>
      <c r="J2" s="3"/>
      <c r="K2" s="3"/>
      <c r="L2" s="3"/>
      <c r="M2" s="3"/>
      <c r="N2" s="3"/>
      <c r="O2" s="3"/>
      <c r="P2" s="3"/>
    </row>
    <row r="3" spans="1:16" ht="15" thickBot="1" x14ac:dyDescent="0.25">
      <c r="A3" s="9"/>
      <c r="B3" s="10"/>
      <c r="C3" s="10"/>
      <c r="D3" s="10"/>
      <c r="E3" s="10"/>
      <c r="F3" s="162"/>
      <c r="G3" s="14"/>
      <c r="H3" s="162"/>
      <c r="I3" s="163"/>
      <c r="J3" s="3"/>
      <c r="K3" s="3"/>
      <c r="L3" s="3"/>
      <c r="M3" s="3"/>
      <c r="N3" s="3"/>
      <c r="O3" s="3"/>
      <c r="P3" s="3"/>
    </row>
    <row r="4" spans="1:16" ht="15" x14ac:dyDescent="0.2">
      <c r="A4" s="9"/>
      <c r="B4" s="5" t="s">
        <v>3</v>
      </c>
      <c r="C4" s="6" t="s">
        <v>5</v>
      </c>
      <c r="D4" s="201"/>
      <c r="E4" s="10"/>
      <c r="F4" s="162"/>
      <c r="G4" s="7" t="s">
        <v>2</v>
      </c>
      <c r="H4" s="8" t="s">
        <v>25</v>
      </c>
      <c r="I4" s="163"/>
      <c r="J4" s="3"/>
      <c r="K4" s="3"/>
      <c r="L4" s="3"/>
      <c r="M4" s="3"/>
      <c r="N4" s="3"/>
      <c r="O4" s="3"/>
      <c r="P4" s="3"/>
    </row>
    <row r="5" spans="1:16" x14ac:dyDescent="0.2">
      <c r="A5" s="9"/>
      <c r="B5" s="9" t="s">
        <v>6</v>
      </c>
      <c r="C5" s="10" t="s">
        <v>5</v>
      </c>
      <c r="D5" s="200"/>
      <c r="E5" s="10"/>
      <c r="F5" s="162"/>
      <c r="G5" s="281">
        <v>1</v>
      </c>
      <c r="H5" s="291"/>
      <c r="I5" s="163"/>
      <c r="J5" s="3"/>
      <c r="K5" s="3"/>
      <c r="L5" s="3"/>
      <c r="M5" s="3"/>
      <c r="N5" s="3"/>
      <c r="O5" s="3"/>
      <c r="P5" s="3"/>
    </row>
    <row r="6" spans="1:16" x14ac:dyDescent="0.2">
      <c r="A6" s="9"/>
      <c r="B6" s="9" t="s">
        <v>7</v>
      </c>
      <c r="C6" s="10" t="s">
        <v>5</v>
      </c>
      <c r="D6" s="200"/>
      <c r="E6" s="10"/>
      <c r="F6" s="162"/>
      <c r="G6" s="290"/>
      <c r="H6" s="283"/>
      <c r="I6" s="163"/>
      <c r="J6" s="3"/>
      <c r="K6" s="3"/>
      <c r="L6" s="3"/>
      <c r="M6" s="3"/>
      <c r="N6" s="3"/>
      <c r="O6" s="3"/>
      <c r="P6" s="3"/>
    </row>
    <row r="7" spans="1:16" x14ac:dyDescent="0.2">
      <c r="A7" s="9"/>
      <c r="B7" s="9" t="s">
        <v>8</v>
      </c>
      <c r="C7" s="10" t="s">
        <v>5</v>
      </c>
      <c r="D7" s="200"/>
      <c r="E7" s="10"/>
      <c r="F7" s="162"/>
      <c r="G7" s="281">
        <v>2</v>
      </c>
      <c r="H7" s="283"/>
      <c r="I7" s="163"/>
      <c r="J7" s="3"/>
      <c r="K7" s="3"/>
      <c r="L7" s="3"/>
      <c r="M7" s="3"/>
      <c r="N7" s="3"/>
      <c r="O7" s="3"/>
      <c r="P7" s="3"/>
    </row>
    <row r="8" spans="1:16" x14ac:dyDescent="0.2">
      <c r="A8" s="9"/>
      <c r="B8" s="9" t="s">
        <v>9</v>
      </c>
      <c r="C8" s="10" t="s">
        <v>5</v>
      </c>
      <c r="D8" s="200"/>
      <c r="E8" s="10"/>
      <c r="F8" s="162"/>
      <c r="G8" s="290"/>
      <c r="H8" s="283"/>
      <c r="I8" s="163"/>
      <c r="J8" s="3"/>
      <c r="K8" s="3"/>
      <c r="L8" s="3"/>
      <c r="M8" s="3"/>
      <c r="N8" s="3"/>
      <c r="O8" s="3"/>
      <c r="P8" s="3"/>
    </row>
    <row r="9" spans="1:16" x14ac:dyDescent="0.2">
      <c r="A9" s="9"/>
      <c r="B9" s="9" t="s">
        <v>10</v>
      </c>
      <c r="C9" s="10" t="s">
        <v>5</v>
      </c>
      <c r="D9" s="200"/>
      <c r="E9" s="10"/>
      <c r="F9" s="162"/>
      <c r="G9" s="281">
        <v>3</v>
      </c>
      <c r="H9" s="283"/>
      <c r="I9" s="163"/>
      <c r="J9" s="3"/>
      <c r="K9" s="3"/>
      <c r="L9" s="3"/>
      <c r="M9" s="3"/>
      <c r="N9" s="3"/>
      <c r="O9" s="3"/>
      <c r="P9" s="3"/>
    </row>
    <row r="10" spans="1:16" ht="15" thickBot="1" x14ac:dyDescent="0.25">
      <c r="A10" s="9"/>
      <c r="B10" s="9" t="s">
        <v>11</v>
      </c>
      <c r="C10" s="10" t="s">
        <v>5</v>
      </c>
      <c r="D10" s="200"/>
      <c r="E10" s="10"/>
      <c r="F10" s="162"/>
      <c r="G10" s="282"/>
      <c r="H10" s="284"/>
      <c r="I10" s="163"/>
      <c r="J10" s="3"/>
      <c r="K10" s="3"/>
      <c r="L10" s="3"/>
      <c r="M10" s="3"/>
      <c r="N10" s="3"/>
      <c r="O10" s="3"/>
      <c r="P10" s="3"/>
    </row>
    <row r="11" spans="1:16" x14ac:dyDescent="0.2">
      <c r="A11" s="9"/>
      <c r="B11" s="9" t="s">
        <v>12</v>
      </c>
      <c r="C11" s="10" t="s">
        <v>5</v>
      </c>
      <c r="D11" s="200"/>
      <c r="E11" s="10"/>
      <c r="F11" s="162"/>
      <c r="G11" s="285"/>
      <c r="H11" s="286"/>
      <c r="I11" s="163"/>
      <c r="J11" s="3"/>
      <c r="K11" s="3"/>
      <c r="L11" s="3"/>
      <c r="M11" s="3"/>
      <c r="N11" s="3"/>
      <c r="O11" s="3"/>
      <c r="P11" s="3"/>
    </row>
    <row r="12" spans="1:16" x14ac:dyDescent="0.2">
      <c r="A12" s="9"/>
      <c r="B12" s="9" t="s">
        <v>13</v>
      </c>
      <c r="C12" s="10" t="s">
        <v>5</v>
      </c>
      <c r="D12" s="200"/>
      <c r="E12" s="10"/>
      <c r="F12" s="162"/>
      <c r="G12" s="285"/>
      <c r="H12" s="286"/>
      <c r="I12" s="163"/>
      <c r="J12" s="3"/>
      <c r="K12" s="3"/>
      <c r="L12" s="3"/>
      <c r="M12" s="3"/>
      <c r="N12" s="3"/>
      <c r="O12" s="3"/>
      <c r="P12" s="3"/>
    </row>
    <row r="13" spans="1:16" x14ac:dyDescent="0.2">
      <c r="A13" s="9"/>
      <c r="B13" s="9" t="s">
        <v>14</v>
      </c>
      <c r="C13" s="10" t="s">
        <v>5</v>
      </c>
      <c r="D13" s="200"/>
      <c r="E13" s="10"/>
      <c r="F13" s="162"/>
      <c r="G13" s="164" t="s">
        <v>26</v>
      </c>
      <c r="H13" s="162" t="s">
        <v>27</v>
      </c>
      <c r="I13" s="163"/>
      <c r="J13" s="3"/>
      <c r="K13" s="3"/>
      <c r="L13" s="3"/>
      <c r="M13" s="3"/>
      <c r="N13" s="3"/>
      <c r="O13" s="3"/>
      <c r="P13" s="3"/>
    </row>
    <row r="14" spans="1:16" x14ac:dyDescent="0.2">
      <c r="A14" s="9"/>
      <c r="B14" s="9" t="s">
        <v>15</v>
      </c>
      <c r="C14" s="10" t="s">
        <v>5</v>
      </c>
      <c r="D14" s="200"/>
      <c r="E14" s="10"/>
      <c r="F14" s="162"/>
      <c r="G14" s="164"/>
      <c r="H14" s="162" t="s">
        <v>29</v>
      </c>
      <c r="I14" s="163"/>
      <c r="J14" s="3"/>
      <c r="K14" s="3"/>
      <c r="L14" s="3"/>
      <c r="M14" s="3"/>
      <c r="N14" s="3"/>
      <c r="O14" s="3"/>
      <c r="P14" s="3"/>
    </row>
    <row r="15" spans="1:16" x14ac:dyDescent="0.2">
      <c r="A15" s="9"/>
      <c r="B15" s="9" t="s">
        <v>16</v>
      </c>
      <c r="C15" s="10" t="s">
        <v>5</v>
      </c>
      <c r="D15" s="200"/>
      <c r="E15" s="10"/>
      <c r="F15" s="162"/>
      <c r="G15" s="164" t="s">
        <v>28</v>
      </c>
      <c r="H15" s="162" t="s">
        <v>30</v>
      </c>
      <c r="I15" s="163"/>
      <c r="J15" s="3"/>
      <c r="K15" s="3"/>
      <c r="L15" s="3"/>
      <c r="M15" s="3"/>
      <c r="N15" s="3"/>
      <c r="O15" s="3"/>
      <c r="P15" s="3"/>
    </row>
    <row r="16" spans="1:16" ht="15.75" customHeight="1" x14ac:dyDescent="0.2">
      <c r="A16" s="9"/>
      <c r="B16" s="9" t="s">
        <v>17</v>
      </c>
      <c r="C16" s="10" t="s">
        <v>5</v>
      </c>
      <c r="D16" s="200"/>
      <c r="E16" s="10"/>
      <c r="F16" s="162"/>
      <c r="G16" s="164" t="s">
        <v>31</v>
      </c>
      <c r="H16" s="162" t="s">
        <v>32</v>
      </c>
      <c r="I16" s="163"/>
      <c r="J16" s="3"/>
      <c r="K16" s="3"/>
      <c r="L16" s="3"/>
      <c r="M16" s="3"/>
      <c r="N16" s="3"/>
      <c r="O16" s="3"/>
      <c r="P16" s="3"/>
    </row>
    <row r="17" spans="1:16" x14ac:dyDescent="0.2">
      <c r="A17" s="9"/>
      <c r="B17" s="9" t="s">
        <v>18</v>
      </c>
      <c r="C17" s="10" t="s">
        <v>5</v>
      </c>
      <c r="D17" s="200"/>
      <c r="E17" s="10"/>
      <c r="F17" s="162"/>
      <c r="G17" s="164"/>
      <c r="H17" s="162"/>
      <c r="I17" s="163"/>
      <c r="J17" s="3"/>
      <c r="K17" s="3"/>
      <c r="L17" s="3"/>
      <c r="M17" s="3"/>
      <c r="N17" s="3"/>
      <c r="O17" s="3"/>
      <c r="P17" s="3"/>
    </row>
    <row r="18" spans="1:16" x14ac:dyDescent="0.2">
      <c r="A18" s="9"/>
      <c r="B18" s="9" t="s">
        <v>17</v>
      </c>
      <c r="C18" s="10" t="s">
        <v>5</v>
      </c>
      <c r="D18" s="200"/>
      <c r="E18" s="10"/>
      <c r="F18" s="162"/>
      <c r="G18" s="164"/>
      <c r="H18" s="162"/>
      <c r="I18" s="163"/>
      <c r="J18" s="3"/>
      <c r="K18" s="3"/>
      <c r="L18" s="3"/>
      <c r="M18" s="3"/>
      <c r="N18" s="3"/>
      <c r="O18" s="3"/>
      <c r="P18" s="3"/>
    </row>
    <row r="19" spans="1:16" x14ac:dyDescent="0.2">
      <c r="A19" s="9"/>
      <c r="B19" s="9" t="s">
        <v>19</v>
      </c>
      <c r="C19" s="10" t="s">
        <v>5</v>
      </c>
      <c r="D19" s="200"/>
      <c r="E19" s="10"/>
      <c r="F19" s="162"/>
      <c r="G19" s="164"/>
      <c r="H19" s="162"/>
      <c r="I19" s="163"/>
      <c r="J19" s="3"/>
      <c r="K19" s="3"/>
      <c r="L19" s="3"/>
      <c r="M19" s="3"/>
      <c r="N19" s="3"/>
      <c r="O19" s="3"/>
      <c r="P19" s="3"/>
    </row>
    <row r="20" spans="1:16" x14ac:dyDescent="0.2">
      <c r="A20" s="9"/>
      <c r="B20" s="9" t="s">
        <v>20</v>
      </c>
      <c r="C20" s="10" t="s">
        <v>5</v>
      </c>
      <c r="D20" s="200"/>
      <c r="E20" s="10"/>
      <c r="F20" s="162"/>
      <c r="G20" s="164"/>
      <c r="H20" s="165" t="s">
        <v>21</v>
      </c>
      <c r="I20" s="163"/>
      <c r="J20" s="3"/>
      <c r="K20" s="3"/>
      <c r="L20" s="3"/>
      <c r="M20" s="3"/>
      <c r="N20" s="3"/>
      <c r="O20" s="3"/>
      <c r="P20" s="3"/>
    </row>
    <row r="21" spans="1:16" x14ac:dyDescent="0.2">
      <c r="A21" s="9"/>
      <c r="B21" s="9" t="s">
        <v>22</v>
      </c>
      <c r="C21" s="10" t="s">
        <v>5</v>
      </c>
      <c r="D21" s="200"/>
      <c r="E21" s="10"/>
      <c r="F21" s="162"/>
      <c r="G21" s="164"/>
      <c r="H21" s="165" t="s">
        <v>23</v>
      </c>
      <c r="I21" s="163"/>
      <c r="J21" s="3"/>
      <c r="K21" s="3"/>
      <c r="L21" s="3"/>
      <c r="M21" s="3"/>
      <c r="N21" s="3"/>
      <c r="O21" s="3"/>
      <c r="P21" s="3"/>
    </row>
    <row r="22" spans="1:16" x14ac:dyDescent="0.2">
      <c r="A22" s="9"/>
      <c r="B22" s="9" t="s">
        <v>24</v>
      </c>
      <c r="C22" s="10" t="s">
        <v>5</v>
      </c>
      <c r="D22" s="200"/>
      <c r="E22" s="10"/>
      <c r="F22" s="162"/>
      <c r="G22" s="164"/>
      <c r="H22" s="162"/>
      <c r="I22" s="163"/>
      <c r="J22" s="3"/>
      <c r="K22" s="3"/>
      <c r="L22" s="3"/>
      <c r="M22" s="3"/>
      <c r="N22" s="3"/>
      <c r="O22" s="3"/>
      <c r="P22" s="3"/>
    </row>
    <row r="23" spans="1:16" ht="15" thickBot="1" x14ac:dyDescent="0.25">
      <c r="A23" s="9"/>
      <c r="B23" s="11"/>
      <c r="C23" s="12"/>
      <c r="D23" s="13"/>
      <c r="E23" s="10"/>
      <c r="F23" s="162"/>
      <c r="G23" s="164"/>
      <c r="H23" s="165"/>
      <c r="I23" s="163"/>
      <c r="J23" s="3"/>
      <c r="K23" s="3"/>
      <c r="L23" s="3"/>
      <c r="M23" s="3"/>
      <c r="N23" s="3"/>
      <c r="O23" s="3"/>
      <c r="P23" s="3"/>
    </row>
    <row r="24" spans="1:16" x14ac:dyDescent="0.2">
      <c r="A24" s="9"/>
      <c r="B24" s="10"/>
      <c r="C24" s="10"/>
      <c r="D24" s="10"/>
      <c r="E24" s="10"/>
      <c r="F24" s="162"/>
      <c r="G24" s="14"/>
      <c r="H24" s="165"/>
      <c r="I24" s="163"/>
      <c r="J24" s="3"/>
      <c r="K24" s="3"/>
      <c r="L24" s="3"/>
      <c r="M24" s="3"/>
      <c r="N24" s="3"/>
      <c r="O24" s="3"/>
      <c r="P24" s="3"/>
    </row>
    <row r="25" spans="1:16" ht="15" thickBot="1" x14ac:dyDescent="0.25">
      <c r="A25" s="11"/>
      <c r="B25" s="12"/>
      <c r="C25" s="12"/>
      <c r="D25" s="12"/>
      <c r="E25" s="12"/>
      <c r="F25" s="166"/>
      <c r="G25" s="167"/>
      <c r="H25" s="166"/>
      <c r="I25" s="168"/>
      <c r="J25" s="3"/>
      <c r="K25" s="3"/>
      <c r="L25" s="3"/>
      <c r="M25" s="3"/>
      <c r="N25" s="3"/>
      <c r="O25" s="3"/>
      <c r="P25" s="3"/>
    </row>
    <row r="26" spans="1:16" x14ac:dyDescent="0.2">
      <c r="A26" s="3"/>
      <c r="B26" s="3"/>
      <c r="C26" s="3"/>
      <c r="D26" s="3"/>
      <c r="E26" s="3"/>
      <c r="F26" s="3"/>
      <c r="G26" s="15"/>
      <c r="H26" s="3"/>
      <c r="I26" s="3"/>
      <c r="J26" s="3"/>
      <c r="K26" s="3"/>
      <c r="L26" s="3"/>
      <c r="M26" s="3"/>
      <c r="N26" s="3"/>
      <c r="O26" s="3"/>
      <c r="P26" s="3"/>
    </row>
    <row r="27" spans="1:16" x14ac:dyDescent="0.2">
      <c r="A27" s="3"/>
      <c r="B27" s="3"/>
      <c r="C27" s="3"/>
      <c r="D27" s="3"/>
      <c r="E27" s="3"/>
      <c r="F27" s="3"/>
      <c r="G27" s="15"/>
      <c r="H27" s="3"/>
      <c r="I27" s="3"/>
      <c r="J27" s="3"/>
      <c r="K27" s="3"/>
      <c r="L27" s="3"/>
      <c r="M27" s="3"/>
      <c r="N27" s="3"/>
      <c r="O27" s="3"/>
      <c r="P27" s="3"/>
    </row>
    <row r="28" spans="1:16" x14ac:dyDescent="0.2">
      <c r="A28" s="3"/>
      <c r="B28" s="3"/>
      <c r="C28" s="3"/>
      <c r="D28" s="3"/>
      <c r="E28" s="3"/>
      <c r="F28" s="3"/>
      <c r="G28" s="15"/>
      <c r="H28" s="3"/>
      <c r="I28" s="3"/>
      <c r="J28" s="3"/>
      <c r="K28" s="3"/>
      <c r="L28" s="3"/>
      <c r="M28" s="3"/>
      <c r="N28" s="3"/>
      <c r="O28" s="3"/>
      <c r="P28" s="3"/>
    </row>
  </sheetData>
  <mergeCells count="9">
    <mergeCell ref="G9:G10"/>
    <mergeCell ref="H9:H10"/>
    <mergeCell ref="G11:G12"/>
    <mergeCell ref="H11:H12"/>
    <mergeCell ref="A2:I2"/>
    <mergeCell ref="G5:G6"/>
    <mergeCell ref="H5:H6"/>
    <mergeCell ref="G7:G8"/>
    <mergeCell ref="H7:H8"/>
  </mergeCells>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dimension ref="A1:Y74"/>
  <sheetViews>
    <sheetView zoomScale="87" zoomScaleNormal="87" workbookViewId="0">
      <pane xSplit="4" topLeftCell="E1" activePane="topRight" state="frozen"/>
      <selection pane="topRight"/>
    </sheetView>
  </sheetViews>
  <sheetFormatPr defaultRowHeight="12.75" x14ac:dyDescent="0.2"/>
  <cols>
    <col min="1" max="1" width="3.7109375" style="19" bestFit="1" customWidth="1"/>
    <col min="2" max="2" width="7.85546875" style="19" customWidth="1"/>
    <col min="3" max="3" width="11" style="19" bestFit="1" customWidth="1"/>
    <col min="4" max="4" width="37.5703125" style="19" customWidth="1"/>
    <col min="5" max="5" width="3.7109375" style="19" bestFit="1" customWidth="1"/>
    <col min="6" max="6" width="14.5703125" style="19" bestFit="1" customWidth="1"/>
    <col min="7" max="7" width="18" style="19" bestFit="1" customWidth="1"/>
    <col min="8" max="8" width="7.85546875" style="19" bestFit="1" customWidth="1"/>
    <col min="9" max="9" width="13.5703125" style="19" customWidth="1"/>
    <col min="10" max="10" width="16.140625" style="19" customWidth="1"/>
    <col min="11" max="11" width="4.5703125" style="19" customWidth="1"/>
    <col min="12" max="16384" width="9.140625" style="19"/>
  </cols>
  <sheetData>
    <row r="1" spans="1:25" x14ac:dyDescent="0.2">
      <c r="A1" s="17"/>
      <c r="B1" s="17"/>
      <c r="C1" s="17"/>
      <c r="D1" s="17"/>
      <c r="E1" s="17"/>
      <c r="F1" s="17"/>
      <c r="G1" s="17"/>
      <c r="H1" s="17"/>
      <c r="I1" s="17"/>
      <c r="J1" s="17"/>
      <c r="K1" s="17"/>
      <c r="L1" s="18"/>
      <c r="M1" s="18"/>
      <c r="N1" s="18"/>
      <c r="O1" s="18"/>
      <c r="P1" s="18"/>
      <c r="Q1" s="18"/>
      <c r="R1" s="18"/>
      <c r="S1" s="18"/>
      <c r="T1" s="18"/>
      <c r="U1" s="18"/>
      <c r="V1" s="18"/>
      <c r="W1" s="18"/>
      <c r="X1" s="18"/>
      <c r="Y1" s="18"/>
    </row>
    <row r="2" spans="1:25" ht="20.25" customHeight="1" x14ac:dyDescent="0.2">
      <c r="A2" s="292" t="s">
        <v>33</v>
      </c>
      <c r="B2" s="292" t="s">
        <v>34</v>
      </c>
      <c r="C2" s="292" t="s">
        <v>35</v>
      </c>
      <c r="D2" s="292" t="s">
        <v>36</v>
      </c>
      <c r="E2" s="292" t="s">
        <v>37</v>
      </c>
      <c r="F2" s="292" t="s">
        <v>38</v>
      </c>
      <c r="G2" s="292" t="s">
        <v>39</v>
      </c>
      <c r="H2" s="292" t="s">
        <v>40</v>
      </c>
      <c r="I2" s="292" t="s">
        <v>41</v>
      </c>
      <c r="J2" s="293" t="s">
        <v>42</v>
      </c>
      <c r="K2" s="20"/>
      <c r="L2" s="18"/>
      <c r="M2" s="18"/>
      <c r="N2" s="18"/>
      <c r="O2" s="18"/>
      <c r="P2" s="18"/>
      <c r="Q2" s="18"/>
      <c r="R2" s="18"/>
      <c r="S2" s="18"/>
      <c r="T2" s="18"/>
      <c r="U2" s="18"/>
      <c r="V2" s="18"/>
      <c r="W2" s="18"/>
      <c r="X2" s="18"/>
      <c r="Y2" s="18"/>
    </row>
    <row r="3" spans="1:25" ht="16.5" customHeight="1" x14ac:dyDescent="0.2">
      <c r="A3" s="292"/>
      <c r="B3" s="292"/>
      <c r="C3" s="292"/>
      <c r="D3" s="292"/>
      <c r="E3" s="292"/>
      <c r="F3" s="292"/>
      <c r="G3" s="292"/>
      <c r="H3" s="292"/>
      <c r="I3" s="292"/>
      <c r="J3" s="294"/>
      <c r="K3" s="20"/>
      <c r="L3" s="18"/>
      <c r="M3" s="18"/>
      <c r="N3" s="18"/>
      <c r="O3" s="18"/>
      <c r="P3" s="18"/>
      <c r="Q3" s="18"/>
      <c r="R3" s="18"/>
      <c r="S3" s="18"/>
      <c r="T3" s="18"/>
      <c r="U3" s="18"/>
      <c r="V3" s="18"/>
      <c r="W3" s="18"/>
      <c r="X3" s="18"/>
      <c r="Y3" s="18"/>
    </row>
    <row r="4" spans="1:25" ht="49.5" customHeight="1" x14ac:dyDescent="0.2">
      <c r="A4" s="292"/>
      <c r="B4" s="292"/>
      <c r="C4" s="292"/>
      <c r="D4" s="292"/>
      <c r="E4" s="292"/>
      <c r="F4" s="292"/>
      <c r="G4" s="292"/>
      <c r="H4" s="292"/>
      <c r="I4" s="292"/>
      <c r="J4" s="294"/>
      <c r="K4" s="20"/>
      <c r="L4" s="18"/>
      <c r="M4" s="18"/>
      <c r="N4" s="18"/>
      <c r="O4" s="18"/>
      <c r="P4" s="18"/>
      <c r="Q4" s="18"/>
      <c r="R4" s="18"/>
      <c r="S4" s="18"/>
      <c r="T4" s="18"/>
      <c r="U4" s="18"/>
      <c r="V4" s="18"/>
      <c r="W4" s="18"/>
      <c r="X4" s="18"/>
      <c r="Y4" s="18"/>
    </row>
    <row r="5" spans="1:25" x14ac:dyDescent="0.2">
      <c r="A5" s="21">
        <v>1</v>
      </c>
      <c r="B5" s="21">
        <v>2</v>
      </c>
      <c r="C5" s="21">
        <v>3</v>
      </c>
      <c r="D5" s="21">
        <v>4</v>
      </c>
      <c r="E5" s="21">
        <v>5</v>
      </c>
      <c r="F5" s="21">
        <v>6</v>
      </c>
      <c r="G5" s="21">
        <v>7</v>
      </c>
      <c r="H5" s="21">
        <v>8</v>
      </c>
      <c r="I5" s="21">
        <v>9</v>
      </c>
      <c r="J5" s="22">
        <v>10</v>
      </c>
      <c r="K5" s="20"/>
      <c r="L5" s="18"/>
      <c r="M5" s="18"/>
      <c r="N5" s="18"/>
      <c r="O5" s="18"/>
      <c r="P5" s="18"/>
      <c r="Q5" s="18"/>
      <c r="R5" s="18"/>
      <c r="S5" s="18"/>
      <c r="T5" s="18"/>
      <c r="U5" s="18"/>
      <c r="V5" s="18"/>
      <c r="W5" s="18"/>
      <c r="X5" s="18"/>
      <c r="Y5" s="18"/>
    </row>
    <row r="6" spans="1:25" s="33" customFormat="1" ht="20.25" customHeight="1" x14ac:dyDescent="0.25">
      <c r="A6" s="23">
        <v>1</v>
      </c>
      <c r="B6" s="24"/>
      <c r="C6" s="25"/>
      <c r="D6" s="26"/>
      <c r="E6" s="27"/>
      <c r="F6" s="24"/>
      <c r="G6" s="25"/>
      <c r="H6" s="26"/>
      <c r="I6" s="25"/>
      <c r="J6" s="26"/>
      <c r="K6" s="20"/>
      <c r="L6" s="32"/>
      <c r="M6" s="32"/>
      <c r="N6" s="32"/>
      <c r="O6" s="32"/>
      <c r="P6" s="32"/>
      <c r="Q6" s="32"/>
      <c r="R6" s="32"/>
      <c r="S6" s="32"/>
      <c r="T6" s="32"/>
      <c r="U6" s="32"/>
      <c r="V6" s="32"/>
      <c r="W6" s="32"/>
      <c r="X6" s="32"/>
      <c r="Y6" s="32"/>
    </row>
    <row r="7" spans="1:25" s="33" customFormat="1" ht="20.25" customHeight="1" x14ac:dyDescent="0.25">
      <c r="A7" s="34">
        <v>2</v>
      </c>
      <c r="B7" s="35"/>
      <c r="C7" s="36"/>
      <c r="D7" s="26"/>
      <c r="E7" s="37"/>
      <c r="F7" s="35"/>
      <c r="G7" s="36"/>
      <c r="H7" s="26"/>
      <c r="I7" s="36"/>
      <c r="J7" s="26"/>
      <c r="K7" s="20"/>
      <c r="L7" s="32"/>
      <c r="M7" s="32"/>
      <c r="N7" s="32"/>
      <c r="O7" s="32"/>
      <c r="P7" s="32"/>
      <c r="Q7" s="32"/>
      <c r="R7" s="32"/>
      <c r="S7" s="32"/>
      <c r="T7" s="32"/>
      <c r="U7" s="32"/>
      <c r="V7" s="32"/>
      <c r="W7" s="32"/>
      <c r="X7" s="32"/>
      <c r="Y7" s="32"/>
    </row>
    <row r="8" spans="1:25" s="33" customFormat="1" ht="20.25" customHeight="1" x14ac:dyDescent="0.25">
      <c r="A8" s="38">
        <v>3</v>
      </c>
      <c r="B8" s="35"/>
      <c r="C8" s="36"/>
      <c r="D8" s="26"/>
      <c r="E8" s="37"/>
      <c r="F8" s="35"/>
      <c r="G8" s="36"/>
      <c r="H8" s="26"/>
      <c r="I8" s="36"/>
      <c r="J8" s="26"/>
      <c r="K8" s="20"/>
      <c r="L8" s="32"/>
      <c r="M8" s="32"/>
      <c r="N8" s="32"/>
      <c r="O8" s="32"/>
      <c r="P8" s="32"/>
      <c r="Q8" s="32"/>
      <c r="R8" s="32"/>
      <c r="S8" s="32"/>
      <c r="T8" s="32"/>
      <c r="U8" s="32"/>
      <c r="V8" s="32"/>
      <c r="W8" s="32"/>
      <c r="X8" s="32"/>
      <c r="Y8" s="32"/>
    </row>
    <row r="9" spans="1:25" s="33" customFormat="1" ht="20.25" customHeight="1" x14ac:dyDescent="0.25">
      <c r="A9" s="34">
        <v>4</v>
      </c>
      <c r="B9" s="35"/>
      <c r="C9" s="36"/>
      <c r="D9" s="26"/>
      <c r="E9" s="37"/>
      <c r="F9" s="35"/>
      <c r="G9" s="36"/>
      <c r="H9" s="26"/>
      <c r="I9" s="36"/>
      <c r="J9" s="26"/>
      <c r="K9" s="20"/>
      <c r="L9" s="32"/>
      <c r="M9" s="32"/>
      <c r="N9" s="32"/>
      <c r="O9" s="32"/>
      <c r="P9" s="32"/>
      <c r="Q9" s="32"/>
      <c r="R9" s="32"/>
      <c r="S9" s="32"/>
      <c r="T9" s="32"/>
      <c r="U9" s="32"/>
      <c r="V9" s="32"/>
      <c r="W9" s="32"/>
      <c r="X9" s="32"/>
      <c r="Y9" s="32"/>
    </row>
    <row r="10" spans="1:25" s="33" customFormat="1" ht="20.25" customHeight="1" x14ac:dyDescent="0.25">
      <c r="A10" s="38">
        <v>5</v>
      </c>
      <c r="B10" s="35"/>
      <c r="C10" s="36"/>
      <c r="D10" s="26"/>
      <c r="E10" s="37"/>
      <c r="F10" s="35"/>
      <c r="G10" s="36"/>
      <c r="H10" s="26"/>
      <c r="I10" s="36"/>
      <c r="J10" s="26"/>
      <c r="K10" s="20"/>
      <c r="L10" s="32"/>
      <c r="M10" s="32"/>
      <c r="N10" s="32"/>
      <c r="O10" s="32"/>
      <c r="P10" s="32"/>
      <c r="Q10" s="32"/>
      <c r="R10" s="32"/>
      <c r="S10" s="32"/>
      <c r="T10" s="32"/>
      <c r="U10" s="32"/>
      <c r="V10" s="32"/>
      <c r="W10" s="32"/>
      <c r="X10" s="32"/>
      <c r="Y10" s="32"/>
    </row>
    <row r="11" spans="1:25" s="33" customFormat="1" ht="20.25" customHeight="1" x14ac:dyDescent="0.25">
      <c r="A11" s="34">
        <v>6</v>
      </c>
      <c r="B11" s="35"/>
      <c r="C11" s="36"/>
      <c r="D11" s="26"/>
      <c r="E11" s="35"/>
      <c r="F11" s="35"/>
      <c r="G11" s="36"/>
      <c r="H11" s="26"/>
      <c r="I11" s="36"/>
      <c r="J11" s="26"/>
      <c r="K11" s="20"/>
      <c r="L11" s="32"/>
      <c r="M11" s="32"/>
      <c r="N11" s="32"/>
      <c r="O11" s="32"/>
      <c r="P11" s="32"/>
      <c r="Q11" s="32"/>
      <c r="R11" s="32"/>
      <c r="S11" s="32"/>
      <c r="T11" s="32"/>
      <c r="U11" s="32"/>
      <c r="V11" s="32"/>
      <c r="W11" s="32"/>
      <c r="X11" s="32"/>
      <c r="Y11" s="32"/>
    </row>
    <row r="12" spans="1:25" s="33" customFormat="1" ht="20.25" customHeight="1" x14ac:dyDescent="0.25">
      <c r="A12" s="38">
        <v>7</v>
      </c>
      <c r="B12" s="35"/>
      <c r="C12" s="36"/>
      <c r="D12" s="26"/>
      <c r="E12" s="37"/>
      <c r="F12" s="28"/>
      <c r="G12" s="29"/>
      <c r="H12" s="27"/>
      <c r="I12" s="30"/>
      <c r="J12" s="31"/>
      <c r="K12" s="20"/>
      <c r="L12" s="32"/>
      <c r="M12" s="32"/>
      <c r="N12" s="32"/>
      <c r="O12" s="32"/>
      <c r="P12" s="32"/>
      <c r="Q12" s="32"/>
      <c r="R12" s="32"/>
      <c r="S12" s="32"/>
      <c r="T12" s="32"/>
      <c r="U12" s="32"/>
      <c r="V12" s="32"/>
      <c r="W12" s="32"/>
      <c r="X12" s="32"/>
      <c r="Y12" s="32"/>
    </row>
    <row r="13" spans="1:25" s="33" customFormat="1" ht="20.25" customHeight="1" x14ac:dyDescent="0.25">
      <c r="A13" s="34">
        <v>8</v>
      </c>
      <c r="B13" s="35"/>
      <c r="C13" s="36"/>
      <c r="D13" s="26"/>
      <c r="E13" s="37"/>
      <c r="F13" s="28"/>
      <c r="G13" s="29"/>
      <c r="H13" s="27"/>
      <c r="I13" s="30"/>
      <c r="J13" s="31"/>
      <c r="K13" s="20"/>
      <c r="L13" s="32"/>
      <c r="M13" s="32"/>
      <c r="N13" s="32"/>
      <c r="O13" s="32"/>
      <c r="P13" s="32"/>
      <c r="Q13" s="32"/>
      <c r="R13" s="32"/>
      <c r="S13" s="32"/>
      <c r="T13" s="32"/>
      <c r="U13" s="32"/>
      <c r="V13" s="32"/>
      <c r="W13" s="32"/>
      <c r="X13" s="32"/>
      <c r="Y13" s="32"/>
    </row>
    <row r="14" spans="1:25" s="33" customFormat="1" ht="20.25" customHeight="1" x14ac:dyDescent="0.25">
      <c r="A14" s="38">
        <v>9</v>
      </c>
      <c r="B14" s="35"/>
      <c r="C14" s="36"/>
      <c r="D14" s="26"/>
      <c r="E14" s="37"/>
      <c r="F14" s="28"/>
      <c r="G14" s="29"/>
      <c r="H14" s="27"/>
      <c r="I14" s="30"/>
      <c r="J14" s="31"/>
      <c r="K14" s="20"/>
      <c r="L14" s="32"/>
      <c r="M14" s="32"/>
      <c r="N14" s="32"/>
      <c r="O14" s="32"/>
      <c r="P14" s="32"/>
      <c r="Q14" s="32"/>
      <c r="R14" s="32"/>
      <c r="S14" s="32"/>
      <c r="T14" s="32"/>
      <c r="U14" s="32"/>
      <c r="V14" s="32"/>
      <c r="W14" s="32"/>
      <c r="X14" s="32"/>
      <c r="Y14" s="32"/>
    </row>
    <row r="15" spans="1:25" s="33" customFormat="1" ht="20.25" customHeight="1" x14ac:dyDescent="0.25">
      <c r="A15" s="34">
        <v>10</v>
      </c>
      <c r="B15" s="35"/>
      <c r="C15" s="36"/>
      <c r="D15" s="26"/>
      <c r="E15" s="35"/>
      <c r="F15" s="28"/>
      <c r="G15" s="29"/>
      <c r="H15" s="27"/>
      <c r="I15" s="30"/>
      <c r="J15" s="31"/>
      <c r="K15" s="20"/>
      <c r="L15" s="32"/>
      <c r="M15" s="32"/>
      <c r="N15" s="32"/>
      <c r="O15" s="32"/>
      <c r="P15" s="32"/>
      <c r="Q15" s="32"/>
      <c r="R15" s="32"/>
      <c r="S15" s="32"/>
      <c r="T15" s="32"/>
      <c r="U15" s="32"/>
      <c r="V15" s="32"/>
      <c r="W15" s="32"/>
      <c r="X15" s="32"/>
      <c r="Y15" s="32"/>
    </row>
    <row r="16" spans="1:25" s="33" customFormat="1" ht="20.25" customHeight="1" x14ac:dyDescent="0.25">
      <c r="A16" s="38">
        <v>11</v>
      </c>
      <c r="B16" s="35"/>
      <c r="C16" s="36"/>
      <c r="D16" s="26"/>
      <c r="E16" s="37"/>
      <c r="F16" s="28"/>
      <c r="G16" s="29"/>
      <c r="H16" s="27"/>
      <c r="I16" s="30"/>
      <c r="J16" s="31"/>
      <c r="K16" s="20"/>
      <c r="L16" s="32"/>
      <c r="M16" s="32"/>
      <c r="N16" s="32"/>
      <c r="O16" s="32"/>
      <c r="P16" s="32"/>
      <c r="Q16" s="32"/>
      <c r="R16" s="32"/>
      <c r="S16" s="32"/>
      <c r="T16" s="32"/>
      <c r="U16" s="32"/>
      <c r="V16" s="32"/>
      <c r="W16" s="32"/>
      <c r="X16" s="32"/>
      <c r="Y16" s="32"/>
    </row>
    <row r="17" spans="1:25" s="33" customFormat="1" ht="20.25" customHeight="1" x14ac:dyDescent="0.25">
      <c r="A17" s="34">
        <v>12</v>
      </c>
      <c r="B17" s="35"/>
      <c r="C17" s="36"/>
      <c r="D17" s="26"/>
      <c r="E17" s="37"/>
      <c r="F17" s="28"/>
      <c r="G17" s="29"/>
      <c r="H17" s="27"/>
      <c r="I17" s="30"/>
      <c r="J17" s="31"/>
      <c r="K17" s="20"/>
      <c r="L17" s="32"/>
      <c r="M17" s="32"/>
      <c r="N17" s="32"/>
      <c r="O17" s="32"/>
      <c r="P17" s="32"/>
      <c r="Q17" s="32"/>
      <c r="R17" s="32"/>
      <c r="S17" s="32"/>
      <c r="T17" s="32"/>
      <c r="U17" s="32"/>
      <c r="V17" s="32"/>
      <c r="W17" s="32"/>
      <c r="X17" s="32"/>
      <c r="Y17" s="32"/>
    </row>
    <row r="18" spans="1:25" s="33" customFormat="1" ht="20.25" customHeight="1" x14ac:dyDescent="0.25">
      <c r="A18" s="38">
        <v>13</v>
      </c>
      <c r="B18" s="35"/>
      <c r="C18" s="36"/>
      <c r="D18" s="26"/>
      <c r="E18" s="37"/>
      <c r="F18" s="28"/>
      <c r="G18" s="29"/>
      <c r="H18" s="27"/>
      <c r="I18" s="30"/>
      <c r="J18" s="31"/>
      <c r="K18" s="20"/>
      <c r="L18" s="32"/>
      <c r="M18" s="32"/>
      <c r="N18" s="32"/>
      <c r="O18" s="32"/>
      <c r="P18" s="32"/>
      <c r="Q18" s="32"/>
      <c r="R18" s="32"/>
      <c r="S18" s="32"/>
      <c r="T18" s="32"/>
      <c r="U18" s="32"/>
      <c r="V18" s="32"/>
      <c r="W18" s="32"/>
      <c r="X18" s="32"/>
      <c r="Y18" s="32"/>
    </row>
    <row r="19" spans="1:25" s="33" customFormat="1" ht="20.25" customHeight="1" x14ac:dyDescent="0.25">
      <c r="A19" s="34">
        <v>14</v>
      </c>
      <c r="B19" s="35"/>
      <c r="C19" s="36"/>
      <c r="D19" s="26"/>
      <c r="E19" s="35"/>
      <c r="F19" s="28"/>
      <c r="G19" s="29"/>
      <c r="H19" s="27"/>
      <c r="I19" s="30"/>
      <c r="J19" s="31"/>
      <c r="K19" s="20"/>
      <c r="L19" s="32"/>
      <c r="M19" s="32"/>
      <c r="N19" s="32"/>
      <c r="O19" s="32"/>
      <c r="P19" s="32"/>
      <c r="Q19" s="32"/>
      <c r="R19" s="32"/>
      <c r="S19" s="32"/>
      <c r="T19" s="32"/>
      <c r="U19" s="32"/>
      <c r="V19" s="32"/>
      <c r="W19" s="32"/>
      <c r="X19" s="32"/>
      <c r="Y19" s="32"/>
    </row>
    <row r="20" spans="1:25" s="33" customFormat="1" ht="20.25" customHeight="1" x14ac:dyDescent="0.25">
      <c r="A20" s="38">
        <v>15</v>
      </c>
      <c r="B20" s="35"/>
      <c r="C20" s="36"/>
      <c r="D20" s="26"/>
      <c r="E20" s="37"/>
      <c r="F20" s="28"/>
      <c r="G20" s="29"/>
      <c r="H20" s="27"/>
      <c r="I20" s="30"/>
      <c r="J20" s="31"/>
      <c r="K20" s="20"/>
      <c r="L20" s="32"/>
      <c r="M20" s="32"/>
      <c r="N20" s="32"/>
      <c r="O20" s="32"/>
      <c r="P20" s="32"/>
      <c r="Q20" s="32"/>
      <c r="R20" s="32"/>
      <c r="S20" s="32"/>
      <c r="T20" s="32"/>
      <c r="U20" s="32"/>
      <c r="V20" s="32"/>
      <c r="W20" s="32"/>
      <c r="X20" s="32"/>
      <c r="Y20" s="32"/>
    </row>
    <row r="21" spans="1:25" s="33" customFormat="1" ht="20.25" customHeight="1" x14ac:dyDescent="0.25">
      <c r="A21" s="34">
        <v>16</v>
      </c>
      <c r="B21" s="35"/>
      <c r="C21" s="36"/>
      <c r="D21" s="26"/>
      <c r="E21" s="37"/>
      <c r="F21" s="28"/>
      <c r="G21" s="29"/>
      <c r="H21" s="27"/>
      <c r="I21" s="30"/>
      <c r="J21" s="31"/>
      <c r="K21" s="20"/>
      <c r="L21" s="32"/>
      <c r="M21" s="32"/>
      <c r="N21" s="32"/>
      <c r="O21" s="32"/>
      <c r="P21" s="32"/>
      <c r="Q21" s="32"/>
      <c r="R21" s="32"/>
      <c r="S21" s="32"/>
      <c r="T21" s="32"/>
      <c r="U21" s="32"/>
      <c r="V21" s="32"/>
      <c r="W21" s="32"/>
      <c r="X21" s="32"/>
      <c r="Y21" s="32"/>
    </row>
    <row r="22" spans="1:25" s="33" customFormat="1" ht="20.25" customHeight="1" x14ac:dyDescent="0.25">
      <c r="A22" s="38">
        <v>17</v>
      </c>
      <c r="B22" s="35"/>
      <c r="C22" s="36"/>
      <c r="D22" s="26"/>
      <c r="E22" s="35"/>
      <c r="F22" s="28"/>
      <c r="G22" s="29"/>
      <c r="H22" s="27"/>
      <c r="I22" s="30"/>
      <c r="J22" s="31"/>
      <c r="K22" s="20"/>
      <c r="L22" s="32"/>
      <c r="M22" s="32"/>
      <c r="N22" s="32"/>
      <c r="O22" s="32"/>
      <c r="P22" s="32"/>
      <c r="Q22" s="32"/>
      <c r="R22" s="32"/>
      <c r="S22" s="32"/>
      <c r="T22" s="32"/>
      <c r="U22" s="32"/>
      <c r="V22" s="32"/>
      <c r="W22" s="32"/>
      <c r="X22" s="32"/>
      <c r="Y22" s="32"/>
    </row>
    <row r="23" spans="1:25" s="33" customFormat="1" ht="20.25" customHeight="1" x14ac:dyDescent="0.25">
      <c r="A23" s="34">
        <v>18</v>
      </c>
      <c r="B23" s="35"/>
      <c r="C23" s="36"/>
      <c r="D23" s="26"/>
      <c r="E23" s="37"/>
      <c r="F23" s="28"/>
      <c r="G23" s="29"/>
      <c r="H23" s="27"/>
      <c r="I23" s="30"/>
      <c r="J23" s="31"/>
      <c r="K23" s="20"/>
      <c r="L23" s="32"/>
      <c r="M23" s="32"/>
      <c r="N23" s="32"/>
      <c r="O23" s="32"/>
      <c r="P23" s="32"/>
      <c r="Q23" s="32"/>
      <c r="R23" s="32"/>
      <c r="S23" s="32"/>
      <c r="T23" s="32"/>
      <c r="U23" s="32"/>
      <c r="V23" s="32"/>
      <c r="W23" s="32"/>
      <c r="X23" s="32"/>
      <c r="Y23" s="32"/>
    </row>
    <row r="24" spans="1:25" s="33" customFormat="1" ht="20.25" customHeight="1" x14ac:dyDescent="0.25">
      <c r="A24" s="38">
        <v>19</v>
      </c>
      <c r="B24" s="35"/>
      <c r="C24" s="36"/>
      <c r="D24" s="26"/>
      <c r="E24" s="35"/>
      <c r="F24" s="28"/>
      <c r="G24" s="29"/>
      <c r="H24" s="27"/>
      <c r="I24" s="30"/>
      <c r="J24" s="31"/>
      <c r="K24" s="20"/>
      <c r="L24" s="32"/>
      <c r="M24" s="32"/>
      <c r="N24" s="32"/>
      <c r="O24" s="32"/>
      <c r="P24" s="32"/>
      <c r="Q24" s="32"/>
      <c r="R24" s="32"/>
      <c r="S24" s="32"/>
      <c r="T24" s="32"/>
      <c r="U24" s="32"/>
      <c r="V24" s="32"/>
      <c r="W24" s="32"/>
      <c r="X24" s="32"/>
      <c r="Y24" s="32"/>
    </row>
    <row r="25" spans="1:25" s="33" customFormat="1" ht="20.25" customHeight="1" x14ac:dyDescent="0.25">
      <c r="A25" s="34">
        <v>20</v>
      </c>
      <c r="B25" s="35"/>
      <c r="C25" s="36"/>
      <c r="D25" s="26"/>
      <c r="E25" s="35"/>
      <c r="F25" s="28"/>
      <c r="G25" s="29"/>
      <c r="H25" s="27"/>
      <c r="I25" s="30"/>
      <c r="J25" s="31"/>
      <c r="K25" s="20"/>
      <c r="L25" s="32"/>
      <c r="M25" s="32"/>
      <c r="N25" s="32"/>
      <c r="O25" s="32"/>
      <c r="P25" s="32"/>
      <c r="Q25" s="32"/>
      <c r="R25" s="32"/>
      <c r="S25" s="32"/>
      <c r="T25" s="32"/>
      <c r="U25" s="32"/>
      <c r="V25" s="32"/>
      <c r="W25" s="32"/>
      <c r="X25" s="32"/>
      <c r="Y25" s="32"/>
    </row>
    <row r="26" spans="1:25" s="33" customFormat="1" ht="20.25" customHeight="1" x14ac:dyDescent="0.25">
      <c r="A26" s="38">
        <v>21</v>
      </c>
      <c r="B26" s="35"/>
      <c r="C26" s="36"/>
      <c r="D26" s="26"/>
      <c r="E26" s="37"/>
      <c r="F26" s="28"/>
      <c r="G26" s="29"/>
      <c r="H26" s="27"/>
      <c r="I26" s="30"/>
      <c r="J26" s="31"/>
      <c r="K26" s="20"/>
      <c r="L26" s="32"/>
      <c r="M26" s="32"/>
      <c r="N26" s="32"/>
      <c r="O26" s="32"/>
      <c r="P26" s="32"/>
      <c r="Q26" s="32"/>
      <c r="R26" s="32"/>
      <c r="S26" s="32"/>
      <c r="T26" s="32"/>
      <c r="U26" s="32"/>
      <c r="V26" s="32"/>
      <c r="W26" s="32"/>
      <c r="X26" s="32"/>
      <c r="Y26" s="32"/>
    </row>
    <row r="27" spans="1:25" s="33" customFormat="1" ht="20.25" customHeight="1" x14ac:dyDescent="0.25">
      <c r="A27" s="34">
        <v>22</v>
      </c>
      <c r="B27" s="35"/>
      <c r="C27" s="36"/>
      <c r="D27" s="26"/>
      <c r="E27" s="37"/>
      <c r="F27" s="28"/>
      <c r="G27" s="29"/>
      <c r="H27" s="27"/>
      <c r="I27" s="30"/>
      <c r="J27" s="31"/>
      <c r="K27" s="20"/>
      <c r="L27" s="32"/>
      <c r="M27" s="32"/>
      <c r="N27" s="32"/>
      <c r="O27" s="32"/>
      <c r="P27" s="32"/>
      <c r="Q27" s="32"/>
      <c r="R27" s="32"/>
      <c r="S27" s="32"/>
      <c r="T27" s="32"/>
      <c r="U27" s="32"/>
      <c r="V27" s="32"/>
      <c r="W27" s="32"/>
      <c r="X27" s="32"/>
      <c r="Y27" s="32"/>
    </row>
    <row r="28" spans="1:25" s="33" customFormat="1" ht="20.25" customHeight="1" x14ac:dyDescent="0.25">
      <c r="A28" s="38">
        <v>23</v>
      </c>
      <c r="B28" s="35"/>
      <c r="C28" s="36"/>
      <c r="D28" s="26"/>
      <c r="E28" s="37"/>
      <c r="F28" s="28"/>
      <c r="G28" s="29"/>
      <c r="H28" s="27"/>
      <c r="I28" s="30"/>
      <c r="J28" s="31"/>
      <c r="K28" s="20"/>
      <c r="L28" s="32"/>
      <c r="M28" s="32"/>
      <c r="N28" s="32"/>
      <c r="O28" s="32"/>
      <c r="P28" s="32"/>
      <c r="Q28" s="32"/>
      <c r="R28" s="32"/>
      <c r="S28" s="32"/>
      <c r="T28" s="32"/>
      <c r="U28" s="32"/>
      <c r="V28" s="32"/>
      <c r="W28" s="32"/>
      <c r="X28" s="32"/>
      <c r="Y28" s="32"/>
    </row>
    <row r="29" spans="1:25" s="33" customFormat="1" ht="20.25" customHeight="1" x14ac:dyDescent="0.25">
      <c r="A29" s="34">
        <v>24</v>
      </c>
      <c r="B29" s="35"/>
      <c r="C29" s="36"/>
      <c r="D29" s="26"/>
      <c r="E29" s="37"/>
      <c r="F29" s="28"/>
      <c r="G29" s="29"/>
      <c r="H29" s="27"/>
      <c r="I29" s="30"/>
      <c r="J29" s="31"/>
      <c r="K29" s="20"/>
      <c r="L29" s="32"/>
      <c r="M29" s="32"/>
      <c r="N29" s="32"/>
      <c r="O29" s="32"/>
      <c r="P29" s="32"/>
      <c r="Q29" s="32"/>
      <c r="R29" s="32"/>
      <c r="S29" s="32"/>
      <c r="T29" s="32"/>
      <c r="U29" s="32"/>
      <c r="V29" s="32"/>
      <c r="W29" s="32"/>
      <c r="X29" s="32"/>
      <c r="Y29" s="32"/>
    </row>
    <row r="30" spans="1:25" s="33" customFormat="1" ht="20.25" customHeight="1" x14ac:dyDescent="0.25">
      <c r="A30" s="38">
        <v>25</v>
      </c>
      <c r="B30" s="35"/>
      <c r="C30" s="36"/>
      <c r="D30" s="26"/>
      <c r="E30" s="35"/>
      <c r="F30" s="28"/>
      <c r="G30" s="29"/>
      <c r="H30" s="27"/>
      <c r="I30" s="30"/>
      <c r="J30" s="31"/>
      <c r="K30" s="20"/>
      <c r="L30" s="32"/>
      <c r="M30" s="32"/>
      <c r="N30" s="32"/>
      <c r="O30" s="32"/>
      <c r="P30" s="32"/>
      <c r="Q30" s="32"/>
      <c r="R30" s="32"/>
      <c r="S30" s="32"/>
      <c r="T30" s="32"/>
      <c r="U30" s="32"/>
      <c r="V30" s="32"/>
      <c r="W30" s="32"/>
      <c r="X30" s="32"/>
      <c r="Y30" s="32"/>
    </row>
    <row r="31" spans="1:25" s="33" customFormat="1" ht="20.25" customHeight="1" x14ac:dyDescent="0.25">
      <c r="A31" s="34">
        <v>26</v>
      </c>
      <c r="B31" s="35"/>
      <c r="C31" s="36"/>
      <c r="D31" s="26"/>
      <c r="E31" s="37"/>
      <c r="F31" s="28"/>
      <c r="G31" s="29"/>
      <c r="H31" s="27"/>
      <c r="I31" s="30"/>
      <c r="J31" s="31"/>
      <c r="K31" s="20"/>
      <c r="L31" s="32"/>
      <c r="M31" s="32"/>
      <c r="N31" s="32"/>
      <c r="O31" s="32"/>
      <c r="P31" s="32"/>
      <c r="Q31" s="32"/>
      <c r="R31" s="32"/>
      <c r="S31" s="32"/>
      <c r="T31" s="32"/>
      <c r="U31" s="32"/>
      <c r="V31" s="32"/>
      <c r="W31" s="32"/>
      <c r="X31" s="32"/>
      <c r="Y31" s="32"/>
    </row>
    <row r="32" spans="1:25" s="33" customFormat="1" ht="20.25" customHeight="1" x14ac:dyDescent="0.25">
      <c r="A32" s="38">
        <v>27</v>
      </c>
      <c r="B32" s="35"/>
      <c r="C32" s="36"/>
      <c r="D32" s="26"/>
      <c r="E32" s="35"/>
      <c r="F32" s="28"/>
      <c r="G32" s="29"/>
      <c r="H32" s="27"/>
      <c r="I32" s="30"/>
      <c r="J32" s="31"/>
      <c r="K32" s="20"/>
      <c r="L32" s="32"/>
      <c r="M32" s="32"/>
      <c r="N32" s="32"/>
      <c r="O32" s="32"/>
      <c r="P32" s="32"/>
      <c r="Q32" s="32"/>
      <c r="R32" s="32"/>
      <c r="S32" s="32"/>
      <c r="T32" s="32"/>
      <c r="U32" s="32"/>
      <c r="V32" s="32"/>
      <c r="W32" s="32"/>
      <c r="X32" s="32"/>
      <c r="Y32" s="32"/>
    </row>
    <row r="33" spans="1:25" s="33" customFormat="1" ht="20.25" customHeight="1" x14ac:dyDescent="0.25">
      <c r="A33" s="38">
        <v>28</v>
      </c>
      <c r="B33" s="35"/>
      <c r="C33" s="36"/>
      <c r="D33" s="26"/>
      <c r="E33" s="37"/>
      <c r="F33" s="28"/>
      <c r="G33" s="29"/>
      <c r="H33" s="27"/>
      <c r="I33" s="30"/>
      <c r="J33" s="31"/>
      <c r="K33" s="20"/>
      <c r="L33" s="32"/>
      <c r="M33" s="32"/>
      <c r="N33" s="32"/>
      <c r="O33" s="32"/>
      <c r="P33" s="32"/>
      <c r="Q33" s="32"/>
      <c r="R33" s="32"/>
      <c r="S33" s="32"/>
      <c r="T33" s="32"/>
      <c r="U33" s="32"/>
      <c r="V33" s="32"/>
      <c r="W33" s="32"/>
      <c r="X33" s="32"/>
      <c r="Y33" s="32"/>
    </row>
    <row r="34" spans="1:25" s="33" customFormat="1" ht="20.25" customHeight="1" x14ac:dyDescent="0.25">
      <c r="A34" s="34">
        <v>29</v>
      </c>
      <c r="B34" s="35"/>
      <c r="C34" s="36"/>
      <c r="D34" s="26"/>
      <c r="E34" s="37"/>
      <c r="F34" s="28"/>
      <c r="G34" s="29"/>
      <c r="H34" s="27"/>
      <c r="I34" s="30"/>
      <c r="J34" s="31"/>
      <c r="K34" s="20"/>
      <c r="L34" s="32"/>
      <c r="M34" s="32"/>
      <c r="N34" s="32"/>
      <c r="O34" s="32"/>
      <c r="P34" s="32"/>
      <c r="Q34" s="32"/>
      <c r="R34" s="32"/>
      <c r="S34" s="32"/>
      <c r="T34" s="32"/>
      <c r="U34" s="32"/>
      <c r="V34" s="32"/>
      <c r="W34" s="32"/>
      <c r="X34" s="32"/>
      <c r="Y34" s="32"/>
    </row>
    <row r="35" spans="1:25" s="33" customFormat="1" ht="20.25" customHeight="1" x14ac:dyDescent="0.25">
      <c r="A35" s="38">
        <v>30</v>
      </c>
      <c r="B35" s="35"/>
      <c r="C35" s="36"/>
      <c r="D35" s="26"/>
      <c r="E35" s="37"/>
      <c r="F35" s="28"/>
      <c r="G35" s="29"/>
      <c r="H35" s="27"/>
      <c r="I35" s="30"/>
      <c r="J35" s="31"/>
      <c r="K35" s="20"/>
      <c r="L35" s="32"/>
      <c r="M35" s="32"/>
      <c r="N35" s="32"/>
      <c r="O35" s="32"/>
      <c r="P35" s="32"/>
      <c r="Q35" s="32"/>
      <c r="R35" s="32"/>
      <c r="S35" s="32"/>
      <c r="T35" s="32"/>
      <c r="U35" s="32"/>
      <c r="V35" s="32"/>
      <c r="W35" s="32"/>
      <c r="X35" s="32"/>
      <c r="Y35" s="32"/>
    </row>
    <row r="36" spans="1:25" s="33" customFormat="1" ht="20.25" customHeight="1" x14ac:dyDescent="0.25">
      <c r="A36" s="34">
        <v>31</v>
      </c>
      <c r="B36" s="35"/>
      <c r="C36" s="36"/>
      <c r="D36" s="26"/>
      <c r="E36" s="37"/>
      <c r="F36" s="28"/>
      <c r="G36" s="29"/>
      <c r="H36" s="27"/>
      <c r="I36" s="30"/>
      <c r="J36" s="31"/>
      <c r="K36" s="20"/>
      <c r="L36" s="32"/>
      <c r="M36" s="32"/>
      <c r="N36" s="32"/>
      <c r="O36" s="32"/>
      <c r="P36" s="32"/>
      <c r="Q36" s="32"/>
      <c r="R36" s="32"/>
      <c r="S36" s="32"/>
      <c r="T36" s="32"/>
      <c r="U36" s="32"/>
      <c r="V36" s="32"/>
      <c r="W36" s="32"/>
      <c r="X36" s="32"/>
      <c r="Y36" s="32"/>
    </row>
    <row r="37" spans="1:25" s="33" customFormat="1" ht="20.25" customHeight="1" x14ac:dyDescent="0.25">
      <c r="A37" s="38">
        <v>32</v>
      </c>
      <c r="B37" s="39"/>
      <c r="C37" s="40"/>
      <c r="D37" s="26"/>
      <c r="E37" s="37"/>
      <c r="F37" s="28"/>
      <c r="G37" s="29"/>
      <c r="H37" s="27"/>
      <c r="I37" s="30"/>
      <c r="J37" s="31"/>
      <c r="K37" s="20"/>
      <c r="L37" s="32"/>
      <c r="M37" s="32"/>
      <c r="N37" s="32"/>
      <c r="O37" s="32"/>
      <c r="P37" s="32"/>
      <c r="Q37" s="32"/>
      <c r="R37" s="32"/>
      <c r="S37" s="32"/>
      <c r="T37" s="32"/>
      <c r="U37" s="32"/>
      <c r="V37" s="32"/>
      <c r="W37" s="32"/>
      <c r="X37" s="32"/>
      <c r="Y37" s="32"/>
    </row>
    <row r="38" spans="1:25" s="33" customFormat="1" ht="20.25" customHeight="1" x14ac:dyDescent="0.25">
      <c r="A38" s="38">
        <v>33</v>
      </c>
      <c r="B38" s="35"/>
      <c r="C38" s="40"/>
      <c r="D38" s="26"/>
      <c r="E38" s="35"/>
      <c r="F38" s="28"/>
      <c r="G38" s="29"/>
      <c r="H38" s="27"/>
      <c r="I38" s="30"/>
      <c r="J38" s="31"/>
      <c r="K38" s="20"/>
      <c r="L38" s="32"/>
      <c r="M38" s="32"/>
      <c r="N38" s="32"/>
      <c r="O38" s="32"/>
      <c r="P38" s="32"/>
      <c r="Q38" s="32"/>
      <c r="R38" s="32"/>
      <c r="S38" s="32"/>
      <c r="T38" s="32"/>
      <c r="U38" s="32"/>
      <c r="V38" s="32"/>
      <c r="W38" s="32"/>
      <c r="X38" s="32"/>
      <c r="Y38" s="32"/>
    </row>
    <row r="39" spans="1:25" s="33" customFormat="1" ht="20.25" customHeight="1" x14ac:dyDescent="0.25">
      <c r="A39" s="34">
        <v>34</v>
      </c>
      <c r="B39" s="41"/>
      <c r="C39" s="42"/>
      <c r="D39" s="26"/>
      <c r="E39" s="43"/>
      <c r="F39" s="28"/>
      <c r="G39" s="29"/>
      <c r="H39" s="27"/>
      <c r="I39" s="30"/>
      <c r="J39" s="31"/>
      <c r="K39" s="20"/>
      <c r="L39" s="32"/>
      <c r="M39" s="32"/>
      <c r="N39" s="32"/>
      <c r="O39" s="32"/>
      <c r="P39" s="32"/>
      <c r="Q39" s="32"/>
      <c r="R39" s="32"/>
      <c r="S39" s="32"/>
      <c r="T39" s="32"/>
      <c r="U39" s="32"/>
      <c r="V39" s="32"/>
      <c r="W39" s="32"/>
      <c r="X39" s="32"/>
      <c r="Y39" s="32"/>
    </row>
    <row r="40" spans="1:25" s="33" customFormat="1" ht="20.25" customHeight="1" x14ac:dyDescent="0.25">
      <c r="A40" s="38">
        <v>35</v>
      </c>
      <c r="B40" s="41"/>
      <c r="C40" s="42"/>
      <c r="D40" s="26"/>
      <c r="E40" s="43"/>
      <c r="F40" s="28"/>
      <c r="G40" s="29"/>
      <c r="H40" s="27"/>
      <c r="I40" s="30"/>
      <c r="J40" s="31"/>
      <c r="K40" s="20"/>
      <c r="L40" s="32"/>
      <c r="M40" s="32"/>
      <c r="N40" s="32"/>
      <c r="O40" s="32"/>
      <c r="P40" s="32"/>
      <c r="Q40" s="32"/>
      <c r="R40" s="32"/>
      <c r="S40" s="32"/>
      <c r="T40" s="32"/>
      <c r="U40" s="32"/>
      <c r="V40" s="32"/>
      <c r="W40" s="32"/>
      <c r="X40" s="32"/>
      <c r="Y40" s="32"/>
    </row>
    <row r="41" spans="1:25" s="33" customFormat="1" ht="20.25" customHeight="1" x14ac:dyDescent="0.25">
      <c r="A41" s="34">
        <v>36</v>
      </c>
      <c r="B41" s="41"/>
      <c r="C41" s="42"/>
      <c r="D41" s="26"/>
      <c r="E41" s="37"/>
      <c r="F41" s="28"/>
      <c r="G41" s="29"/>
      <c r="H41" s="27"/>
      <c r="I41" s="30"/>
      <c r="J41" s="31"/>
      <c r="K41" s="20"/>
      <c r="L41" s="32"/>
      <c r="M41" s="32"/>
      <c r="N41" s="32"/>
      <c r="O41" s="32"/>
      <c r="P41" s="32"/>
      <c r="Q41" s="32"/>
      <c r="R41" s="32"/>
      <c r="S41" s="32"/>
      <c r="T41" s="32"/>
      <c r="U41" s="32"/>
      <c r="V41" s="32"/>
      <c r="W41" s="32"/>
      <c r="X41" s="32"/>
      <c r="Y41" s="32"/>
    </row>
    <row r="42" spans="1:25" s="33" customFormat="1" ht="20.25" customHeight="1" x14ac:dyDescent="0.25">
      <c r="A42" s="38">
        <v>37</v>
      </c>
      <c r="B42" s="41"/>
      <c r="C42" s="44"/>
      <c r="D42" s="26"/>
      <c r="E42" s="43"/>
      <c r="F42" s="28"/>
      <c r="G42" s="29"/>
      <c r="H42" s="27"/>
      <c r="I42" s="30"/>
      <c r="J42" s="31"/>
      <c r="K42" s="20"/>
      <c r="L42" s="32"/>
      <c r="M42" s="32"/>
      <c r="N42" s="32"/>
      <c r="O42" s="32"/>
      <c r="P42" s="32"/>
      <c r="Q42" s="32"/>
      <c r="R42" s="32"/>
      <c r="S42" s="32"/>
      <c r="T42" s="32"/>
      <c r="U42" s="32"/>
      <c r="V42" s="32"/>
      <c r="W42" s="32"/>
      <c r="X42" s="32"/>
      <c r="Y42" s="32"/>
    </row>
    <row r="43" spans="1:25" s="33" customFormat="1" ht="20.25" customHeight="1" x14ac:dyDescent="0.25">
      <c r="A43" s="38">
        <v>38</v>
      </c>
      <c r="B43" s="41"/>
      <c r="C43" s="44"/>
      <c r="D43" s="26"/>
      <c r="E43" s="37"/>
      <c r="F43" s="28"/>
      <c r="G43" s="29"/>
      <c r="H43" s="27"/>
      <c r="I43" s="30"/>
      <c r="J43" s="31"/>
      <c r="K43" s="20"/>
      <c r="L43" s="32"/>
      <c r="M43" s="32"/>
      <c r="N43" s="32"/>
      <c r="O43" s="32"/>
      <c r="P43" s="32"/>
      <c r="Q43" s="32"/>
      <c r="R43" s="32"/>
      <c r="S43" s="32"/>
      <c r="T43" s="32"/>
      <c r="U43" s="32"/>
      <c r="V43" s="32"/>
      <c r="W43" s="32"/>
      <c r="X43" s="32"/>
      <c r="Y43" s="32"/>
    </row>
    <row r="44" spans="1:25" s="33" customFormat="1" ht="20.25" customHeight="1" x14ac:dyDescent="0.25">
      <c r="A44" s="34">
        <v>39</v>
      </c>
      <c r="B44" s="41"/>
      <c r="C44" s="42"/>
      <c r="D44" s="26"/>
      <c r="E44" s="43"/>
      <c r="F44" s="28"/>
      <c r="G44" s="29"/>
      <c r="H44" s="27"/>
      <c r="I44" s="30"/>
      <c r="J44" s="31"/>
      <c r="K44" s="20"/>
      <c r="L44" s="32"/>
      <c r="M44" s="32"/>
      <c r="N44" s="32"/>
      <c r="O44" s="32"/>
      <c r="P44" s="32"/>
      <c r="Q44" s="32"/>
      <c r="R44" s="32"/>
      <c r="S44" s="32"/>
      <c r="T44" s="32"/>
      <c r="U44" s="32"/>
      <c r="V44" s="32"/>
      <c r="W44" s="32"/>
      <c r="X44" s="32"/>
      <c r="Y44" s="32"/>
    </row>
    <row r="45" spans="1:25" s="33" customFormat="1" ht="20.25" customHeight="1" x14ac:dyDescent="0.25">
      <c r="A45" s="38">
        <v>40</v>
      </c>
      <c r="B45" s="45"/>
      <c r="C45" s="46"/>
      <c r="D45" s="26"/>
      <c r="E45" s="43"/>
      <c r="F45" s="28"/>
      <c r="G45" s="29"/>
      <c r="H45" s="27"/>
      <c r="I45" s="30"/>
      <c r="J45" s="31"/>
      <c r="K45" s="20"/>
      <c r="L45" s="32"/>
      <c r="M45" s="32"/>
      <c r="N45" s="32"/>
      <c r="O45" s="32"/>
      <c r="P45" s="32"/>
      <c r="Q45" s="32"/>
      <c r="R45" s="32"/>
      <c r="S45" s="32"/>
      <c r="T45" s="32"/>
      <c r="U45" s="32"/>
      <c r="V45" s="32"/>
      <c r="W45" s="32"/>
      <c r="X45" s="32"/>
      <c r="Y45" s="32"/>
    </row>
    <row r="46" spans="1:25" s="33" customFormat="1" ht="20.25" customHeight="1" x14ac:dyDescent="0.2">
      <c r="A46" s="34">
        <v>41</v>
      </c>
      <c r="B46" s="45"/>
      <c r="C46" s="47"/>
      <c r="D46" s="26"/>
      <c r="E46" s="43"/>
      <c r="F46" s="28"/>
      <c r="G46" s="29"/>
      <c r="H46" s="27"/>
      <c r="I46" s="30"/>
      <c r="J46" s="31"/>
      <c r="K46" s="17"/>
      <c r="L46" s="32"/>
      <c r="M46" s="32"/>
      <c r="N46" s="32"/>
      <c r="O46" s="32"/>
      <c r="P46" s="32"/>
      <c r="Q46" s="32"/>
      <c r="R46" s="32"/>
      <c r="S46" s="32"/>
      <c r="T46" s="32"/>
      <c r="U46" s="32"/>
      <c r="V46" s="32"/>
      <c r="W46" s="32"/>
      <c r="X46" s="32"/>
      <c r="Y46" s="32"/>
    </row>
    <row r="47" spans="1:25" s="33" customFormat="1" ht="20.25" customHeight="1" x14ac:dyDescent="0.2">
      <c r="A47" s="38">
        <v>42</v>
      </c>
      <c r="B47" s="45"/>
      <c r="C47" s="47"/>
      <c r="D47" s="26"/>
      <c r="E47" s="43"/>
      <c r="F47" s="28"/>
      <c r="G47" s="29"/>
      <c r="H47" s="27"/>
      <c r="I47" s="30"/>
      <c r="J47" s="31"/>
      <c r="K47" s="17"/>
      <c r="L47" s="32"/>
      <c r="M47" s="32"/>
      <c r="N47" s="32"/>
      <c r="O47" s="32"/>
      <c r="P47" s="32"/>
      <c r="Q47" s="32"/>
      <c r="R47" s="32"/>
      <c r="S47" s="32"/>
      <c r="T47" s="32"/>
      <c r="U47" s="32"/>
      <c r="V47" s="32"/>
      <c r="W47" s="32"/>
      <c r="X47" s="32"/>
      <c r="Y47" s="32"/>
    </row>
    <row r="48" spans="1:25" s="33" customFormat="1" ht="20.25" customHeight="1" x14ac:dyDescent="0.2">
      <c r="A48" s="34">
        <v>43</v>
      </c>
      <c r="B48" s="45"/>
      <c r="C48" s="47"/>
      <c r="D48" s="26"/>
      <c r="E48" s="43"/>
      <c r="F48" s="28"/>
      <c r="G48" s="29"/>
      <c r="H48" s="27"/>
      <c r="I48" s="30"/>
      <c r="J48" s="31"/>
      <c r="K48" s="17"/>
      <c r="L48" s="32"/>
      <c r="M48" s="32"/>
      <c r="N48" s="32"/>
      <c r="O48" s="32"/>
      <c r="P48" s="32"/>
      <c r="Q48" s="32"/>
      <c r="R48" s="32"/>
      <c r="S48" s="32"/>
      <c r="T48" s="32"/>
      <c r="U48" s="32"/>
      <c r="V48" s="32"/>
      <c r="W48" s="32"/>
      <c r="X48" s="32"/>
      <c r="Y48" s="32"/>
    </row>
    <row r="49" spans="1:25" s="33" customFormat="1" ht="20.25" customHeight="1" x14ac:dyDescent="0.2">
      <c r="A49" s="38">
        <v>44</v>
      </c>
      <c r="B49" s="45"/>
      <c r="C49" s="47"/>
      <c r="D49" s="26"/>
      <c r="E49" s="43"/>
      <c r="F49" s="28"/>
      <c r="G49" s="29"/>
      <c r="H49" s="27"/>
      <c r="I49" s="30"/>
      <c r="J49" s="31"/>
      <c r="K49" s="17"/>
      <c r="L49" s="32"/>
      <c r="M49" s="32"/>
      <c r="N49" s="32"/>
      <c r="O49" s="32"/>
      <c r="P49" s="32"/>
      <c r="Q49" s="32"/>
      <c r="R49" s="32"/>
      <c r="S49" s="32"/>
      <c r="T49" s="32"/>
      <c r="U49" s="32"/>
      <c r="V49" s="32"/>
      <c r="W49" s="32"/>
      <c r="X49" s="32"/>
      <c r="Y49" s="32"/>
    </row>
    <row r="50" spans="1:25" s="33" customFormat="1" ht="20.25" customHeight="1" x14ac:dyDescent="0.2">
      <c r="A50" s="34">
        <v>45</v>
      </c>
      <c r="B50" s="45"/>
      <c r="C50" s="47"/>
      <c r="D50" s="26"/>
      <c r="E50" s="43"/>
      <c r="F50" s="28"/>
      <c r="G50" s="29"/>
      <c r="H50" s="27"/>
      <c r="I50" s="30"/>
      <c r="J50" s="31"/>
      <c r="K50" s="17"/>
      <c r="L50" s="32"/>
      <c r="M50" s="32"/>
      <c r="N50" s="32"/>
      <c r="O50" s="32"/>
      <c r="P50" s="32"/>
      <c r="Q50" s="32"/>
      <c r="R50" s="32"/>
      <c r="S50" s="32"/>
      <c r="T50" s="32"/>
      <c r="U50" s="32"/>
      <c r="V50" s="32"/>
      <c r="W50" s="32"/>
      <c r="X50" s="32"/>
      <c r="Y50" s="32"/>
    </row>
    <row r="51" spans="1:25" s="33" customFormat="1" ht="20.25" customHeight="1" x14ac:dyDescent="0.2">
      <c r="A51" s="38">
        <v>46</v>
      </c>
      <c r="B51" s="45"/>
      <c r="C51" s="47"/>
      <c r="D51" s="26"/>
      <c r="E51" s="43"/>
      <c r="F51" s="28"/>
      <c r="G51" s="29"/>
      <c r="H51" s="27"/>
      <c r="I51" s="30"/>
      <c r="J51" s="31"/>
      <c r="K51" s="17"/>
      <c r="L51" s="32"/>
      <c r="M51" s="32"/>
      <c r="N51" s="32"/>
      <c r="O51" s="32"/>
      <c r="P51" s="32"/>
      <c r="Q51" s="32"/>
      <c r="R51" s="32"/>
      <c r="S51" s="32"/>
      <c r="T51" s="32"/>
      <c r="U51" s="32"/>
      <c r="V51" s="32"/>
      <c r="W51" s="32"/>
      <c r="X51" s="32"/>
      <c r="Y51" s="32"/>
    </row>
    <row r="52" spans="1:25" s="33" customFormat="1" ht="20.25" customHeight="1" x14ac:dyDescent="0.2">
      <c r="A52" s="34">
        <v>47</v>
      </c>
      <c r="B52" s="45"/>
      <c r="C52" s="47"/>
      <c r="D52" s="26"/>
      <c r="E52" s="43"/>
      <c r="F52" s="28"/>
      <c r="G52" s="29"/>
      <c r="H52" s="27"/>
      <c r="I52" s="30"/>
      <c r="J52" s="31"/>
      <c r="K52" s="17"/>
      <c r="L52" s="32"/>
      <c r="M52" s="32"/>
      <c r="N52" s="32"/>
      <c r="O52" s="32"/>
      <c r="P52" s="32"/>
      <c r="Q52" s="32"/>
      <c r="R52" s="32"/>
      <c r="S52" s="32"/>
      <c r="T52" s="32"/>
      <c r="U52" s="32"/>
      <c r="V52" s="32"/>
      <c r="W52" s="32"/>
      <c r="X52" s="32"/>
      <c r="Y52" s="32"/>
    </row>
    <row r="53" spans="1:25" s="33" customFormat="1" ht="20.25" customHeight="1" x14ac:dyDescent="0.2">
      <c r="A53" s="38">
        <v>48</v>
      </c>
      <c r="B53" s="45"/>
      <c r="C53" s="47"/>
      <c r="D53" s="26"/>
      <c r="E53" s="43"/>
      <c r="F53" s="28"/>
      <c r="G53" s="29"/>
      <c r="H53" s="27"/>
      <c r="I53" s="30"/>
      <c r="J53" s="31"/>
      <c r="K53" s="17"/>
      <c r="L53" s="32"/>
      <c r="M53" s="32"/>
      <c r="N53" s="32"/>
      <c r="O53" s="32"/>
      <c r="P53" s="32"/>
      <c r="Q53" s="32"/>
      <c r="R53" s="32"/>
      <c r="S53" s="32"/>
      <c r="T53" s="32"/>
      <c r="U53" s="32"/>
      <c r="V53" s="32"/>
      <c r="W53" s="32"/>
      <c r="X53" s="32"/>
      <c r="Y53" s="32"/>
    </row>
    <row r="54" spans="1:25" s="33" customFormat="1" ht="20.25" customHeight="1" x14ac:dyDescent="0.2">
      <c r="A54" s="34">
        <v>49</v>
      </c>
      <c r="B54" s="45"/>
      <c r="C54" s="47"/>
      <c r="D54" s="26"/>
      <c r="E54" s="43"/>
      <c r="F54" s="28"/>
      <c r="G54" s="29"/>
      <c r="H54" s="27"/>
      <c r="I54" s="30"/>
      <c r="J54" s="31"/>
      <c r="K54" s="17"/>
      <c r="L54" s="32"/>
      <c r="M54" s="32"/>
      <c r="N54" s="32"/>
      <c r="O54" s="32"/>
      <c r="P54" s="32"/>
      <c r="Q54" s="32"/>
      <c r="R54" s="32"/>
      <c r="S54" s="32"/>
      <c r="T54" s="32"/>
      <c r="U54" s="32"/>
      <c r="V54" s="32"/>
      <c r="W54" s="32"/>
      <c r="X54" s="32"/>
      <c r="Y54" s="32"/>
    </row>
    <row r="55" spans="1:25" s="33" customFormat="1" ht="20.25" customHeight="1" x14ac:dyDescent="0.2">
      <c r="A55" s="38">
        <v>50</v>
      </c>
      <c r="B55" s="45"/>
      <c r="C55" s="47"/>
      <c r="D55" s="26"/>
      <c r="E55" s="43"/>
      <c r="F55" s="28"/>
      <c r="G55" s="29"/>
      <c r="H55" s="27"/>
      <c r="I55" s="30"/>
      <c r="J55" s="31"/>
      <c r="K55" s="17"/>
      <c r="L55" s="32"/>
      <c r="M55" s="32"/>
      <c r="N55" s="32"/>
      <c r="O55" s="32"/>
      <c r="P55" s="32"/>
      <c r="Q55" s="32"/>
      <c r="R55" s="32"/>
      <c r="S55" s="32"/>
      <c r="T55" s="32"/>
      <c r="U55" s="32"/>
      <c r="V55" s="32"/>
      <c r="W55" s="32"/>
      <c r="X55" s="32"/>
      <c r="Y55" s="32"/>
    </row>
    <row r="56" spans="1:25" x14ac:dyDescent="0.2">
      <c r="A56" s="17"/>
      <c r="B56" s="17"/>
      <c r="C56" s="17"/>
      <c r="D56" s="17"/>
      <c r="E56" s="17"/>
      <c r="F56" s="17"/>
      <c r="G56" s="17"/>
      <c r="H56" s="17"/>
      <c r="I56" s="17"/>
      <c r="J56" s="17"/>
      <c r="K56" s="17"/>
      <c r="L56" s="18"/>
      <c r="M56" s="18"/>
      <c r="N56" s="18"/>
      <c r="O56" s="18"/>
      <c r="P56" s="18"/>
      <c r="Q56" s="18"/>
      <c r="R56" s="18"/>
      <c r="S56" s="18"/>
      <c r="T56" s="18"/>
      <c r="U56" s="18"/>
      <c r="V56" s="18"/>
      <c r="W56" s="18"/>
      <c r="X56" s="18"/>
      <c r="Y56" s="18"/>
    </row>
    <row r="57" spans="1:25" x14ac:dyDescent="0.2">
      <c r="A57" s="17"/>
      <c r="B57" s="17"/>
      <c r="C57" s="17"/>
      <c r="D57" s="17"/>
      <c r="E57" s="17"/>
      <c r="F57" s="17"/>
      <c r="G57" s="17"/>
      <c r="H57" s="17"/>
      <c r="I57" s="17"/>
      <c r="J57" s="17"/>
      <c r="K57" s="17"/>
      <c r="L57" s="18"/>
      <c r="M57" s="18"/>
      <c r="N57" s="18"/>
      <c r="O57" s="18"/>
      <c r="P57" s="18"/>
      <c r="Q57" s="18"/>
      <c r="R57" s="18"/>
      <c r="S57" s="18"/>
      <c r="T57" s="18"/>
      <c r="U57" s="18"/>
      <c r="V57" s="18"/>
      <c r="W57" s="18"/>
      <c r="X57" s="18"/>
      <c r="Y57" s="18"/>
    </row>
    <row r="58" spans="1:25"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row>
    <row r="59" spans="1:25" x14ac:dyDescent="0.2">
      <c r="A59" s="18"/>
      <c r="B59" s="18"/>
      <c r="C59" s="18"/>
      <c r="D59" s="18"/>
      <c r="E59" s="18"/>
      <c r="F59" s="18"/>
      <c r="G59" s="18"/>
      <c r="H59" s="18"/>
      <c r="I59" s="18"/>
      <c r="J59" s="18"/>
      <c r="K59" s="18"/>
      <c r="L59" s="18"/>
      <c r="M59" s="18"/>
      <c r="N59" s="18"/>
      <c r="O59" s="18"/>
      <c r="P59" s="18"/>
      <c r="Q59" s="18"/>
      <c r="R59" s="18"/>
      <c r="S59" s="18"/>
      <c r="T59" s="18"/>
      <c r="U59" s="18"/>
      <c r="V59" s="18"/>
      <c r="W59" s="18"/>
      <c r="X59" s="18"/>
      <c r="Y59" s="18"/>
    </row>
    <row r="60" spans="1:25" x14ac:dyDescent="0.2">
      <c r="A60" s="18"/>
      <c r="B60" s="18"/>
      <c r="C60" s="18"/>
      <c r="D60" s="18"/>
      <c r="E60" s="18"/>
      <c r="F60" s="18"/>
      <c r="G60" s="18"/>
      <c r="H60" s="18"/>
      <c r="I60" s="18"/>
      <c r="J60" s="18"/>
      <c r="K60" s="18"/>
      <c r="L60" s="18"/>
      <c r="M60" s="18"/>
      <c r="N60" s="18"/>
      <c r="O60" s="18"/>
      <c r="P60" s="18"/>
      <c r="Q60" s="18"/>
      <c r="R60" s="18"/>
      <c r="S60" s="18"/>
      <c r="T60" s="18"/>
      <c r="U60" s="18"/>
      <c r="V60" s="18"/>
      <c r="W60" s="18"/>
      <c r="X60" s="18"/>
      <c r="Y60" s="18"/>
    </row>
    <row r="61" spans="1:25"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row>
    <row r="62" spans="1:25" x14ac:dyDescent="0.2">
      <c r="A62" s="18"/>
      <c r="B62" s="18"/>
      <c r="C62" s="18"/>
      <c r="D62" s="18"/>
      <c r="E62" s="18"/>
      <c r="F62" s="18"/>
      <c r="G62" s="18"/>
      <c r="H62" s="18"/>
      <c r="I62" s="18"/>
      <c r="J62" s="18"/>
      <c r="K62" s="18"/>
      <c r="L62" s="18"/>
      <c r="M62" s="18"/>
      <c r="N62" s="18"/>
      <c r="O62" s="18"/>
      <c r="P62" s="18"/>
      <c r="Q62" s="18"/>
      <c r="R62" s="18"/>
      <c r="S62" s="18"/>
      <c r="T62" s="18"/>
      <c r="U62" s="18"/>
      <c r="V62" s="18"/>
      <c r="W62" s="18"/>
      <c r="X62" s="18"/>
      <c r="Y62" s="18"/>
    </row>
    <row r="63" spans="1:25" x14ac:dyDescent="0.2">
      <c r="A63" s="18"/>
      <c r="B63" s="18"/>
      <c r="C63" s="18"/>
      <c r="D63" s="18"/>
      <c r="E63" s="18"/>
      <c r="F63" s="18"/>
      <c r="G63" s="18"/>
      <c r="H63" s="18"/>
      <c r="I63" s="18"/>
      <c r="J63" s="18"/>
      <c r="K63" s="18"/>
      <c r="L63" s="18"/>
      <c r="M63" s="18"/>
      <c r="N63" s="18"/>
      <c r="O63" s="18"/>
      <c r="P63" s="18"/>
      <c r="Q63" s="18"/>
      <c r="R63" s="18"/>
      <c r="S63" s="18"/>
      <c r="T63" s="18"/>
      <c r="U63" s="18"/>
      <c r="V63" s="18"/>
      <c r="W63" s="18"/>
      <c r="X63" s="18"/>
      <c r="Y63" s="18"/>
    </row>
    <row r="64" spans="1:25" x14ac:dyDescent="0.2">
      <c r="A64" s="18"/>
      <c r="B64" s="18"/>
      <c r="C64" s="18"/>
      <c r="D64" s="18"/>
      <c r="E64" s="18"/>
      <c r="F64" s="18"/>
      <c r="G64" s="18"/>
      <c r="H64" s="18"/>
      <c r="I64" s="18"/>
      <c r="J64" s="18"/>
      <c r="K64" s="18"/>
      <c r="L64" s="18"/>
      <c r="M64" s="18"/>
      <c r="N64" s="18"/>
      <c r="O64" s="18"/>
      <c r="P64" s="18"/>
      <c r="Q64" s="18"/>
      <c r="R64" s="18"/>
      <c r="S64" s="18"/>
      <c r="T64" s="18"/>
      <c r="U64" s="18"/>
      <c r="V64" s="18"/>
      <c r="W64" s="18"/>
      <c r="X64" s="18"/>
      <c r="Y64" s="18"/>
    </row>
    <row r="65" spans="1:25" x14ac:dyDescent="0.2">
      <c r="A65" s="18"/>
      <c r="B65" s="18"/>
      <c r="C65" s="18"/>
      <c r="D65" s="18"/>
      <c r="E65" s="18"/>
      <c r="F65" s="18"/>
      <c r="G65" s="18"/>
      <c r="H65" s="18"/>
      <c r="I65" s="18"/>
      <c r="J65" s="18"/>
      <c r="K65" s="18"/>
      <c r="L65" s="18"/>
      <c r="M65" s="18"/>
      <c r="N65" s="18"/>
      <c r="O65" s="18"/>
      <c r="P65" s="18"/>
      <c r="Q65" s="18"/>
      <c r="R65" s="18"/>
      <c r="S65" s="18"/>
      <c r="T65" s="18"/>
      <c r="U65" s="18"/>
      <c r="V65" s="18"/>
      <c r="W65" s="18"/>
      <c r="X65" s="18"/>
      <c r="Y65" s="18"/>
    </row>
    <row r="66" spans="1:25" x14ac:dyDescent="0.2">
      <c r="A66" s="18"/>
      <c r="B66" s="18"/>
      <c r="C66" s="18"/>
      <c r="D66" s="18"/>
      <c r="E66" s="18"/>
      <c r="F66" s="18"/>
      <c r="G66" s="18"/>
      <c r="H66" s="18"/>
      <c r="I66" s="18"/>
      <c r="J66" s="18"/>
      <c r="K66" s="18"/>
      <c r="L66" s="18"/>
      <c r="M66" s="18"/>
      <c r="N66" s="18"/>
      <c r="O66" s="18"/>
      <c r="P66" s="18"/>
      <c r="Q66" s="18"/>
      <c r="R66" s="18"/>
      <c r="S66" s="18"/>
      <c r="T66" s="18"/>
      <c r="U66" s="18"/>
      <c r="V66" s="18"/>
      <c r="W66" s="18"/>
      <c r="X66" s="18"/>
      <c r="Y66" s="18"/>
    </row>
    <row r="67" spans="1:25" x14ac:dyDescent="0.2">
      <c r="A67" s="18"/>
      <c r="B67" s="18"/>
      <c r="C67" s="18"/>
      <c r="D67" s="18"/>
      <c r="E67" s="18"/>
      <c r="F67" s="18"/>
      <c r="G67" s="18"/>
      <c r="H67" s="18"/>
      <c r="I67" s="18"/>
      <c r="J67" s="18"/>
      <c r="K67" s="18"/>
      <c r="L67" s="18"/>
      <c r="M67" s="18"/>
      <c r="N67" s="18"/>
      <c r="O67" s="18"/>
      <c r="P67" s="18"/>
      <c r="Q67" s="18"/>
      <c r="R67" s="18"/>
      <c r="S67" s="18"/>
      <c r="T67" s="18"/>
      <c r="U67" s="18"/>
      <c r="V67" s="18"/>
      <c r="W67" s="18"/>
      <c r="X67" s="18"/>
      <c r="Y67" s="18"/>
    </row>
    <row r="68" spans="1:25" x14ac:dyDescent="0.2">
      <c r="A68" s="18"/>
      <c r="B68" s="18"/>
      <c r="C68" s="18"/>
      <c r="D68" s="18"/>
      <c r="E68" s="18"/>
      <c r="F68" s="18"/>
      <c r="G68" s="18"/>
      <c r="H68" s="18"/>
      <c r="I68" s="18"/>
      <c r="J68" s="18"/>
      <c r="K68" s="18"/>
      <c r="L68" s="18"/>
      <c r="M68" s="18"/>
      <c r="N68" s="18"/>
      <c r="O68" s="18"/>
      <c r="P68" s="18"/>
      <c r="Q68" s="18"/>
      <c r="R68" s="18"/>
      <c r="S68" s="18"/>
      <c r="T68" s="18"/>
      <c r="U68" s="18"/>
      <c r="V68" s="18"/>
      <c r="W68" s="18"/>
      <c r="X68" s="18"/>
      <c r="Y68" s="18"/>
    </row>
    <row r="69" spans="1:25" x14ac:dyDescent="0.2">
      <c r="A69" s="18"/>
      <c r="B69" s="18"/>
      <c r="C69" s="18"/>
      <c r="D69" s="18"/>
      <c r="E69" s="18"/>
      <c r="F69" s="18"/>
      <c r="G69" s="18"/>
      <c r="H69" s="18"/>
      <c r="I69" s="18"/>
      <c r="J69" s="18"/>
      <c r="K69" s="18"/>
      <c r="L69" s="18"/>
      <c r="M69" s="18"/>
      <c r="N69" s="18"/>
      <c r="O69" s="18"/>
      <c r="P69" s="18"/>
      <c r="Q69" s="18"/>
      <c r="R69" s="18"/>
      <c r="S69" s="18"/>
      <c r="T69" s="18"/>
      <c r="U69" s="18"/>
      <c r="V69" s="18"/>
      <c r="W69" s="18"/>
      <c r="X69" s="18"/>
      <c r="Y69" s="18"/>
    </row>
    <row r="70" spans="1:25" x14ac:dyDescent="0.2">
      <c r="A70" s="18"/>
      <c r="B70" s="18"/>
      <c r="C70" s="18"/>
      <c r="D70" s="18"/>
      <c r="E70" s="18"/>
      <c r="F70" s="18"/>
      <c r="G70" s="18"/>
      <c r="H70" s="18"/>
      <c r="I70" s="18"/>
      <c r="J70" s="18"/>
      <c r="K70" s="18"/>
      <c r="L70" s="18"/>
      <c r="M70" s="18"/>
      <c r="N70" s="18"/>
      <c r="O70" s="18"/>
      <c r="P70" s="18"/>
      <c r="Q70" s="18"/>
      <c r="R70" s="18"/>
      <c r="S70" s="18"/>
      <c r="T70" s="18"/>
      <c r="U70" s="18"/>
      <c r="V70" s="18"/>
      <c r="W70" s="18"/>
      <c r="X70" s="18"/>
      <c r="Y70" s="18"/>
    </row>
    <row r="71" spans="1:25"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row>
    <row r="72" spans="1:25" x14ac:dyDescent="0.2">
      <c r="A72" s="18"/>
      <c r="B72" s="18"/>
      <c r="C72" s="18"/>
      <c r="D72" s="18"/>
      <c r="E72" s="18"/>
      <c r="F72" s="18"/>
      <c r="G72" s="18"/>
      <c r="H72" s="18"/>
      <c r="I72" s="18"/>
      <c r="J72" s="18"/>
      <c r="K72" s="18"/>
      <c r="L72" s="18"/>
      <c r="M72" s="18"/>
      <c r="N72" s="18"/>
      <c r="O72" s="18"/>
      <c r="P72" s="18"/>
      <c r="Q72" s="18"/>
      <c r="R72" s="18"/>
      <c r="S72" s="18"/>
      <c r="T72" s="18"/>
      <c r="U72" s="18"/>
      <c r="V72" s="18"/>
      <c r="W72" s="18"/>
      <c r="X72" s="18"/>
      <c r="Y72" s="18"/>
    </row>
    <row r="73" spans="1:25" x14ac:dyDescent="0.2">
      <c r="S73" s="18"/>
      <c r="T73" s="18"/>
      <c r="U73" s="18"/>
      <c r="V73" s="18"/>
      <c r="W73" s="18"/>
      <c r="X73" s="18"/>
      <c r="Y73" s="18"/>
    </row>
    <row r="74" spans="1:25" x14ac:dyDescent="0.2">
      <c r="S74" s="18"/>
      <c r="T74" s="18"/>
      <c r="U74" s="18"/>
      <c r="V74" s="18"/>
      <c r="W74" s="18"/>
      <c r="X74" s="18"/>
      <c r="Y74" s="18"/>
    </row>
  </sheetData>
  <mergeCells count="10">
    <mergeCell ref="G2:G4"/>
    <mergeCell ref="H2:H4"/>
    <mergeCell ref="I2:I4"/>
    <mergeCell ref="J2:J4"/>
    <mergeCell ref="A2:A4"/>
    <mergeCell ref="B2:B4"/>
    <mergeCell ref="C2:C4"/>
    <mergeCell ref="D2:D4"/>
    <mergeCell ref="E2:E4"/>
    <mergeCell ref="F2:F4"/>
  </mergeCells>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30"/>
  <sheetViews>
    <sheetView workbookViewId="0">
      <selection activeCell="I6" sqref="I6"/>
    </sheetView>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482</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428</v>
      </c>
      <c r="H6" s="173"/>
      <c r="I6" s="175" t="str">
        <f>": "&amp;IDENTITAS!H5</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60"/>
  <sheetViews>
    <sheetView workbookViewId="0">
      <selection activeCell="E8" sqref="E8"/>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433</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428</v>
      </c>
      <c r="D6" s="63"/>
      <c r="E6" s="316">
        <f>IDENTITAS!H5</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429</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520</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 xml:space="preserve">Capaian Fase </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c r="D13" s="307"/>
      <c r="E13" s="308"/>
      <c r="F13" s="70"/>
      <c r="G13" s="306"/>
      <c r="H13" s="307"/>
      <c r="I13" s="308"/>
      <c r="J13" s="64"/>
      <c r="K13" s="306"/>
      <c r="L13" s="307"/>
      <c r="M13" s="307"/>
      <c r="N13" s="308"/>
      <c r="O13" s="64"/>
      <c r="P13" s="306" t="e">
        <f>INDEX(ELSUBFASE!$C$11:$H$52,MATCH(PROYEK1!K13,ELSUBFASE!$B$11:$B$52,0),MATCH(PROYEK1!E7,ELSUBFASE!$C$10:$H$10,0))</f>
        <v>#N/A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 xml:space="preserve">Capaian Fase </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c r="D19" s="307"/>
      <c r="E19" s="308"/>
      <c r="F19" s="70"/>
      <c r="G19" s="306"/>
      <c r="H19" s="307"/>
      <c r="I19" s="308"/>
      <c r="J19" s="64"/>
      <c r="K19" s="306"/>
      <c r="L19" s="307"/>
      <c r="M19" s="307"/>
      <c r="N19" s="308"/>
      <c r="O19" s="64"/>
      <c r="P19" s="306" t="e">
        <f>INDEX(ELSUBFASE!C11:H52,MATCH(PROYEK1!K19,ELSUBFASE!B11:B52,0),MATCH(PROYEK1!E7,ELSUBFASE!C10:H10,0))</f>
        <v>#N/A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 xml:space="preserve">Capaian Fase </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c r="D25" s="307"/>
      <c r="E25" s="308"/>
      <c r="F25" s="70"/>
      <c r="G25" s="306"/>
      <c r="H25" s="307"/>
      <c r="I25" s="308"/>
      <c r="J25" s="64"/>
      <c r="K25" s="306"/>
      <c r="L25" s="307"/>
      <c r="M25" s="307"/>
      <c r="N25" s="308"/>
      <c r="O25" s="64"/>
      <c r="P25" s="306" t="e">
        <f>INDEX(ELSUBFASE!C11:H52,MATCH(PROYEK1!K25,ELSUBFASE!B11:B52,0),MATCH(PROYEK1!E7,ELSUBFASE!C10:H10,0))</f>
        <v>#N/A</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 xml:space="preserve">Capaian Fase </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c r="D31" s="307"/>
      <c r="E31" s="308"/>
      <c r="F31" s="64"/>
      <c r="G31" s="306"/>
      <c r="H31" s="307"/>
      <c r="I31" s="308"/>
      <c r="J31" s="64"/>
      <c r="K31" s="306"/>
      <c r="L31" s="307"/>
      <c r="M31" s="307"/>
      <c r="N31" s="308"/>
      <c r="O31" s="64"/>
      <c r="P31" s="306" t="e">
        <f>INDEX(ELSUBFASE!C11:H52,MATCH(PROYEK1!K31,ELSUBFASE!B11:B52,0),MATCH(PROYEK1!E7,ELSUBFASE!C10:H10,0))</f>
        <v>#N/A</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 xml:space="preserve">Capaian Fase </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c r="D37" s="307"/>
      <c r="E37" s="308"/>
      <c r="F37" s="64"/>
      <c r="G37" s="306"/>
      <c r="H37" s="307"/>
      <c r="I37" s="308"/>
      <c r="J37" s="64"/>
      <c r="K37" s="306"/>
      <c r="L37" s="307"/>
      <c r="M37" s="307"/>
      <c r="N37" s="308"/>
      <c r="O37" s="64"/>
      <c r="P37" s="306" t="e">
        <f>INDEX(ELSUBFASE!C11:H52,MATCH(PROYEK1!K37,ELSUBFASE!B11:B52,0),MATCH(PROYEK1!E7,ELSUBFASE!C10:H10,0))</f>
        <v>#N/A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 xml:space="preserve">Capaian Fase </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c r="D43" s="307"/>
      <c r="E43" s="308"/>
      <c r="F43" s="64"/>
      <c r="G43" s="306"/>
      <c r="H43" s="307"/>
      <c r="I43" s="308"/>
      <c r="J43" s="64"/>
      <c r="K43" s="306"/>
      <c r="L43" s="307"/>
      <c r="M43" s="307"/>
      <c r="N43" s="308"/>
      <c r="O43" s="64"/>
      <c r="P43" s="306" t="e">
        <f>INDEX(ELSUBFASE!C11:H52,MATCH(PROYEK1!K43,ELSUBFASE!B11:B52,0),MATCH(PROYEK1!E7,ELSUBFASE!C10:H10,0))</f>
        <v>#N/A</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 xml:space="preserve">Capaian Fase </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c r="D49" s="307"/>
      <c r="E49" s="308"/>
      <c r="F49" s="64"/>
      <c r="G49" s="306"/>
      <c r="H49" s="307"/>
      <c r="I49" s="308"/>
      <c r="J49" s="64"/>
      <c r="K49" s="306"/>
      <c r="L49" s="307"/>
      <c r="M49" s="307"/>
      <c r="N49" s="308"/>
      <c r="O49" s="64"/>
      <c r="P49" s="306" t="e">
        <f>INDEX(ELSUBFASE!C11:H52,MATCH(PROYEK1!K49,ELSUBFASE!B11:B52,0),MATCH(PROYEK1!E7,ELSUBFASE!C10:H10,0))</f>
        <v>#N/A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9:E51"/>
    <mergeCell ref="G49:I51"/>
    <mergeCell ref="K49:N51"/>
    <mergeCell ref="P49:T51"/>
    <mergeCell ref="C31:E33"/>
    <mergeCell ref="G31:I33"/>
    <mergeCell ref="K31:N33"/>
    <mergeCell ref="P31:T33"/>
    <mergeCell ref="C37:E39"/>
    <mergeCell ref="G37:I39"/>
    <mergeCell ref="K37:N39"/>
    <mergeCell ref="P37:T39"/>
    <mergeCell ref="C35:E36"/>
    <mergeCell ref="G35:I36"/>
    <mergeCell ref="K35:N36"/>
    <mergeCell ref="P35:T36"/>
    <mergeCell ref="K19:N21"/>
    <mergeCell ref="C25:E27"/>
    <mergeCell ref="G25:I27"/>
    <mergeCell ref="K25:N27"/>
    <mergeCell ref="P13:T15"/>
    <mergeCell ref="P19:T21"/>
    <mergeCell ref="P25:T27"/>
    <mergeCell ref="K13:N15"/>
    <mergeCell ref="C13:E15"/>
    <mergeCell ref="G13:I15"/>
    <mergeCell ref="C19:E21"/>
    <mergeCell ref="G19:I21"/>
    <mergeCell ref="C17:E18"/>
    <mergeCell ref="G17:I18"/>
    <mergeCell ref="K17:N18"/>
    <mergeCell ref="P17:T18"/>
    <mergeCell ref="C3:T3"/>
    <mergeCell ref="C11:E12"/>
    <mergeCell ref="G11:I12"/>
    <mergeCell ref="K11:N12"/>
    <mergeCell ref="P11:T12"/>
    <mergeCell ref="E6:I6"/>
    <mergeCell ref="C23:E24"/>
    <mergeCell ref="G23:I24"/>
    <mergeCell ref="K23:N24"/>
    <mergeCell ref="P23:T24"/>
    <mergeCell ref="C29:E30"/>
    <mergeCell ref="G29:I30"/>
    <mergeCell ref="K29:N30"/>
    <mergeCell ref="P29:T30"/>
    <mergeCell ref="C41:E42"/>
    <mergeCell ref="G41:I42"/>
    <mergeCell ref="K41:N42"/>
    <mergeCell ref="P41:T42"/>
    <mergeCell ref="C47:E48"/>
    <mergeCell ref="G47:I48"/>
    <mergeCell ref="K47:N48"/>
    <mergeCell ref="P47:T48"/>
    <mergeCell ref="C43:E45"/>
    <mergeCell ref="G43:I45"/>
    <mergeCell ref="K43:N45"/>
    <mergeCell ref="P43:T45"/>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600-000000000000}">
          <x14:formula1>
            <xm:f>DIMEL!$B$3:$G$3</xm:f>
          </x14:formula1>
          <xm:sqref>C13 C19 C25 C31 C37 C43 C49</xm:sqref>
        </x14:dataValidation>
        <x14:dataValidation type="list" allowBlank="1" showInputMessage="1" showErrorMessage="1" xr:uid="{00000000-0002-0000-0600-000001000000}">
          <x14:formula1>
            <xm:f>CHOOSE(MATCH($C$13,DIMEL!$B$3:$G$3,0),DIMEL!$B$4:$B$8,DIMEL!$C$4:$C$7,DIMEL!$D$4:$D$6,DIMEL!$E$4:$E$5,DIMEL!$F$4:$F$6,DIMEL!$G$4:$G$6)</xm:f>
          </x14:formula1>
          <xm:sqref>G13</xm:sqref>
        </x14:dataValidation>
        <x14:dataValidation type="list" allowBlank="1" showInputMessage="1" showErrorMessage="1" xr:uid="{00000000-0002-0000-0600-000002000000}">
          <x14:formula1>
            <xm:f>OFFSET(ELSUBFASE!$A$3,1,MATCH($G$13,ELSUBFASE!$B$3:$U$3,0),5,1)</xm:f>
          </x14:formula1>
          <xm:sqref>K13:N15</xm:sqref>
        </x14:dataValidation>
        <x14:dataValidation type="list" allowBlank="1" showInputMessage="1" showErrorMessage="1" xr:uid="{00000000-0002-0000-0600-000003000000}">
          <x14:formula1>
            <xm:f>ELSUBFASE!$C$10:$H$10</xm:f>
          </x14:formula1>
          <xm:sqref>E7</xm:sqref>
        </x14:dataValidation>
        <x14:dataValidation type="list" allowBlank="1" showInputMessage="1" showErrorMessage="1" xr:uid="{00000000-0002-0000-0600-000004000000}">
          <x14:formula1>
            <xm:f>CHOOSE(MATCH($C$19,DIMEL!$B$3:$G$3,0),DIMEL!$B$4:$B$8,DIMEL!$C$4:$C$7,DIMEL!$D$4:$D$6,DIMEL!$E$4:$E$5,DIMEL!$F$4:$F$6,DIMEL!$G$4:$G$6)</xm:f>
          </x14:formula1>
          <xm:sqref>G19:I21</xm:sqref>
        </x14:dataValidation>
        <x14:dataValidation type="list" allowBlank="1" showInputMessage="1" showErrorMessage="1" xr:uid="{00000000-0002-0000-0600-000005000000}">
          <x14:formula1>
            <xm:f>OFFSET(ELSUBFASE!$A$3,1,MATCH($G$19,ELSUBFASE!$B$3:$U$3,0),5,1)</xm:f>
          </x14:formula1>
          <xm:sqref>K19:N21</xm:sqref>
        </x14:dataValidation>
        <x14:dataValidation type="list" allowBlank="1" showInputMessage="1" showErrorMessage="1" xr:uid="{00000000-0002-0000-0600-000006000000}">
          <x14:formula1>
            <xm:f>CHOOSE(MATCH($C$25,DIMEL!$B$3:$G$3,0),DIMEL!$B$4:$B$8,DIMEL!$C$4:$C$7,DIMEL!$D$4:$D$6,DIMEL!$E$4:$E$5,DIMEL!$F$4:$F$6,DIMEL!$G$4:$G$6)</xm:f>
          </x14:formula1>
          <xm:sqref>G25:I27</xm:sqref>
        </x14:dataValidation>
        <x14:dataValidation type="list" allowBlank="1" showInputMessage="1" showErrorMessage="1" xr:uid="{00000000-0002-0000-0600-000007000000}">
          <x14:formula1>
            <xm:f>OFFSET(ELSUBFASE!$A$3,1,MATCH($G$25,ELSUBFASE!$B$3:$U$3,0),5,1)</xm:f>
          </x14:formula1>
          <xm:sqref>K25:N27</xm:sqref>
        </x14:dataValidation>
        <x14:dataValidation type="list" allowBlank="1" showInputMessage="1" showErrorMessage="1" xr:uid="{00000000-0002-0000-0600-000008000000}">
          <x14:formula1>
            <xm:f>CHOOSE(MATCH($C$31,DIMEL!$B$3:$G$3,0),DIMEL!$B$4:$B$8,DIMEL!$C$4:$C$7,DIMEL!$D$4:$D$6,DIMEL!$E$4:$E$5,DIMEL!$F$4:$F$6,DIMEL!$G$4:$G$6)</xm:f>
          </x14:formula1>
          <xm:sqref>G31:I34</xm:sqref>
        </x14:dataValidation>
        <x14:dataValidation type="list" allowBlank="1" showInputMessage="1" showErrorMessage="1" xr:uid="{00000000-0002-0000-0600-000009000000}">
          <x14:formula1>
            <xm:f>OFFSET(ELSUBFASE!$A$3,1,MATCH($G$31,ELSUBFASE!$B$3:$U$3,0),5,1)</xm:f>
          </x14:formula1>
          <xm:sqref>K31:N34</xm:sqref>
        </x14:dataValidation>
        <x14:dataValidation type="list" allowBlank="1" showInputMessage="1" showErrorMessage="1" xr:uid="{00000000-0002-0000-0600-00000A000000}">
          <x14:formula1>
            <xm:f>CHOOSE(MATCH($C$37,DIMEL!$B$3:$G$3,0),DIMEL!$B$4:$B$8,DIMEL!$C$4:$C$7,DIMEL!$D$4:$D$6,DIMEL!$E$4:$E$5,DIMEL!$F$4:$F$6,DIMEL!$G$4:$G$6)</xm:f>
          </x14:formula1>
          <xm:sqref>G37:I39</xm:sqref>
        </x14:dataValidation>
        <x14:dataValidation type="list" allowBlank="1" showInputMessage="1" showErrorMessage="1" xr:uid="{00000000-0002-0000-0600-00000B000000}">
          <x14:formula1>
            <xm:f>OFFSET(ELSUBFASE!$A$3,1,MATCH($G$37,ELSUBFASE!$B$3:$U$3,0),5,1)</xm:f>
          </x14:formula1>
          <xm:sqref>K37:N39</xm:sqref>
        </x14:dataValidation>
        <x14:dataValidation type="list" allowBlank="1" showInputMessage="1" showErrorMessage="1" xr:uid="{00000000-0002-0000-0600-00000C000000}">
          <x14:formula1>
            <xm:f>CHOOSE(MATCH($C$43,DIMEL!$B$3:$G$3,0),DIMEL!$B$4:$B$8,DIMEL!$C$4:$C$7,DIMEL!$D$4:$D$6,DIMEL!$E$4:$E$5,DIMEL!$F$4:$F$6,DIMEL!$G$4:$G$6)</xm:f>
          </x14:formula1>
          <xm:sqref>G43:I45</xm:sqref>
        </x14:dataValidation>
        <x14:dataValidation type="list" allowBlank="1" showInputMessage="1" showErrorMessage="1" xr:uid="{00000000-0002-0000-0600-00000D000000}">
          <x14:formula1>
            <xm:f>OFFSET(ELSUBFASE!$A$3,1,MATCH($G$43,ELSUBFASE!$B$3:$U$3,0),5,1)</xm:f>
          </x14:formula1>
          <xm:sqref>K43:N45</xm:sqref>
        </x14:dataValidation>
        <x14:dataValidation type="list" allowBlank="1" showInputMessage="1" showErrorMessage="1" xr:uid="{00000000-0002-0000-0600-00000E000000}">
          <x14:formula1>
            <xm:f>CHOOSE(MATCH($C$49,DIMEL!$B$3:$G$3,0),DIMEL!$B$4:$B$8,DIMEL!$C$4:$C$7,DIMEL!$D$4:$D$6,DIMEL!$E$4:$E$5,DIMEL!$F$4:$F$6,DIMEL!$G$4:$G$6)</xm:f>
          </x14:formula1>
          <xm:sqref>G49:I51</xm:sqref>
        </x14:dataValidation>
        <x14:dataValidation type="list" allowBlank="1" showInputMessage="1" showErrorMessage="1" xr:uid="{00000000-0002-0000-0600-00000F000000}">
          <x14:formula1>
            <xm:f>OFFSET(ELSUBFASE!$A$3,1,MATCH($G$49,ELSUBFASE!$B$3:$U$3,0),5,1)</xm:f>
          </x14:formula1>
          <xm:sqref>K49:N51</xm:sqref>
        </x14:dataValidation>
        <x14:dataValidation type="list" allowBlank="1" showInputMessage="1" showErrorMessage="1" xr:uid="{00000000-0002-0000-0600-000010000000}">
          <x14:formula1>
            <xm:f>DIMEL!$B$10:$B$23</xm:f>
          </x14:formula1>
          <xm:sqref>E8:E9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9"/>
  <sheetViews>
    <sheetView zoomScale="95" zoomScaleNormal="95" workbookViewId="0">
      <selection activeCell="I12" sqref="I12:L12"/>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17" t="s">
        <v>468</v>
      </c>
      <c r="D3" s="318"/>
      <c r="E3" s="318"/>
      <c r="F3" s="318"/>
      <c r="G3" s="318"/>
      <c r="H3" s="318"/>
      <c r="I3" s="318"/>
      <c r="J3" s="318"/>
      <c r="K3" s="318"/>
      <c r="L3" s="318"/>
      <c r="M3" s="318"/>
      <c r="N3" s="318"/>
      <c r="O3" s="318"/>
      <c r="P3" s="318"/>
      <c r="Q3" s="318"/>
      <c r="R3" s="318"/>
      <c r="S3" s="318"/>
      <c r="T3" s="318"/>
      <c r="U3" s="318"/>
      <c r="V3" s="318"/>
      <c r="W3" s="318"/>
      <c r="X3" s="318"/>
      <c r="Y3" s="318"/>
      <c r="Z3" s="318"/>
      <c r="AA3" s="318"/>
      <c r="AB3" s="318"/>
      <c r="AC3" s="318"/>
      <c r="AD3" s="318"/>
      <c r="AE3" s="318"/>
      <c r="AF3" s="319"/>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428</v>
      </c>
      <c r="C5" s="131"/>
      <c r="D5" s="132">
        <f>IDENTITAS!H5</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552</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45" t="s">
        <v>33</v>
      </c>
      <c r="D11" s="345" t="s">
        <v>459</v>
      </c>
      <c r="E11" s="341">
        <f>PROYEK1!C13</f>
        <v>0</v>
      </c>
      <c r="F11" s="342"/>
      <c r="G11" s="342"/>
      <c r="H11" s="342"/>
      <c r="I11" s="342">
        <f>PROYEK1!C19</f>
        <v>0</v>
      </c>
      <c r="J11" s="342"/>
      <c r="K11" s="342"/>
      <c r="L11" s="342"/>
      <c r="M11" s="343">
        <f>PROYEK1!C25</f>
        <v>0</v>
      </c>
      <c r="N11" s="343"/>
      <c r="O11" s="343"/>
      <c r="P11" s="343"/>
      <c r="Q11" s="344">
        <f>PROYEK1!C31</f>
        <v>0</v>
      </c>
      <c r="R11" s="344"/>
      <c r="S11" s="344"/>
      <c r="T11" s="344"/>
      <c r="U11" s="344">
        <f>PROYEK1!C37</f>
        <v>0</v>
      </c>
      <c r="V11" s="344"/>
      <c r="W11" s="344"/>
      <c r="X11" s="344"/>
      <c r="Y11" s="344">
        <f>PROYEK1!C43</f>
        <v>0</v>
      </c>
      <c r="Z11" s="344"/>
      <c r="AA11" s="344"/>
      <c r="AB11" s="344"/>
      <c r="AC11" s="342">
        <f>PROYEK1!C49</f>
        <v>0</v>
      </c>
      <c r="AD11" s="342"/>
      <c r="AE11" s="342"/>
      <c r="AF11" s="342"/>
      <c r="AG11" s="105"/>
      <c r="AH11" s="1"/>
      <c r="AI11" s="2"/>
      <c r="AJ11" s="2"/>
      <c r="AK11" s="2"/>
    </row>
    <row r="12" spans="1:37" ht="66" customHeight="1" thickBot="1" x14ac:dyDescent="0.3">
      <c r="A12" s="1"/>
      <c r="B12" s="105"/>
      <c r="C12" s="345"/>
      <c r="D12" s="345"/>
      <c r="E12" s="323" t="e">
        <f>PROYEK1!P13</f>
        <v>#N/A</v>
      </c>
      <c r="F12" s="324"/>
      <c r="G12" s="324"/>
      <c r="H12" s="325"/>
      <c r="I12" s="326" t="e">
        <f>PROYEK1!P19</f>
        <v>#N/A</v>
      </c>
      <c r="J12" s="327"/>
      <c r="K12" s="327"/>
      <c r="L12" s="328"/>
      <c r="M12" s="329" t="e">
        <f>PROYEK1!P25</f>
        <v>#N/A</v>
      </c>
      <c r="N12" s="330"/>
      <c r="O12" s="330"/>
      <c r="P12" s="331"/>
      <c r="Q12" s="332" t="e">
        <f>PROYEK1!P31</f>
        <v>#N/A</v>
      </c>
      <c r="R12" s="333"/>
      <c r="S12" s="333"/>
      <c r="T12" s="334"/>
      <c r="U12" s="335" t="e">
        <f>PROYEK1!P37</f>
        <v>#N/A</v>
      </c>
      <c r="V12" s="336"/>
      <c r="W12" s="336"/>
      <c r="X12" s="337"/>
      <c r="Y12" s="338" t="e">
        <f>PROYEK1!P43</f>
        <v>#N/A</v>
      </c>
      <c r="Z12" s="339"/>
      <c r="AA12" s="339"/>
      <c r="AB12" s="340"/>
      <c r="AC12" s="320" t="e">
        <f>PROYEK1!P49</f>
        <v>#N/A</v>
      </c>
      <c r="AD12" s="321"/>
      <c r="AE12" s="321"/>
      <c r="AF12" s="322"/>
      <c r="AG12" s="105"/>
      <c r="AH12" s="1"/>
      <c r="AI12" s="2"/>
      <c r="AJ12" s="2"/>
      <c r="AK12" s="2"/>
    </row>
    <row r="13" spans="1:37" ht="23.25" customHeight="1" thickBot="1" x14ac:dyDescent="0.3">
      <c r="A13" s="1"/>
      <c r="B13" s="105"/>
      <c r="C13" s="345"/>
      <c r="D13" s="345"/>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7"/>
      <c r="L14" s="188"/>
      <c r="M14" s="186"/>
      <c r="N14" s="187"/>
      <c r="O14" s="187"/>
      <c r="P14" s="188"/>
      <c r="Q14" s="186"/>
      <c r="R14" s="187"/>
      <c r="S14" s="187"/>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D11:D13"/>
    <mergeCell ref="C3:AF3"/>
    <mergeCell ref="AC12:AF12"/>
    <mergeCell ref="E12:H12"/>
    <mergeCell ref="I12:L12"/>
    <mergeCell ref="M12:P12"/>
    <mergeCell ref="Q12:T12"/>
    <mergeCell ref="U12:X12"/>
    <mergeCell ref="Y12:AB12"/>
    <mergeCell ref="E11:H11"/>
    <mergeCell ref="I11:L11"/>
    <mergeCell ref="M11:P11"/>
    <mergeCell ref="Q11:T11"/>
    <mergeCell ref="U11:X11"/>
    <mergeCell ref="Y11:AB11"/>
    <mergeCell ref="AC11:AF11"/>
    <mergeCell ref="C11:C13"/>
  </mergeCells>
  <dataValidations count="4">
    <dataValidation allowBlank="1" showInputMessage="1" showErrorMessage="1" promptTitle="Belum Berkembang" prompt="Siswa masih membutuhkan bimbingan dalam mengembangkan kemampuan" sqref="F6" xr:uid="{00000000-0002-0000-0700-000000000000}"/>
    <dataValidation allowBlank="1" showInputMessage="1" showErrorMessage="1" promptTitle="Mulai Berkembang" prompt="Siswa mulai mengembangkan kemampuan namun masih belum ajek" sqref="F7" xr:uid="{00000000-0002-0000-0700-000001000000}"/>
    <dataValidation allowBlank="1" showInputMessage="1" showErrorMessage="1" promptTitle="Berkembang Sesuai Harapan" prompt="Siswa telah mengembangkan kemampuan hingga berada dalam tahap ajek" sqref="F8" xr:uid="{00000000-0002-0000-0700-000002000000}"/>
    <dataValidation allowBlank="1" showInputMessage="1" showErrorMessage="1" promptTitle="Sangat Berkembang" prompt="Siswa mengembangkan kemampuannya melampaui harapan" sqref="F9" xr:uid="{00000000-0002-0000-0700-000003000000}"/>
  </dataValidation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T80"/>
  <sheetViews>
    <sheetView workbookViewId="0"/>
  </sheetViews>
  <sheetFormatPr defaultRowHeight="15" x14ac:dyDescent="0.25"/>
  <cols>
    <col min="1" max="1" width="3.42578125" customWidth="1"/>
    <col min="2" max="2" width="7.5703125" customWidth="1"/>
    <col min="3" max="3" width="7.42578125" customWidth="1"/>
    <col min="4" max="4" width="37.7109375" customWidth="1"/>
    <col min="5" max="7" width="38" customWidth="1"/>
    <col min="8" max="8" width="4.28515625" customWidth="1"/>
    <col min="9" max="9" width="4.42578125" customWidth="1"/>
  </cols>
  <sheetData>
    <row r="1" spans="1:20" x14ac:dyDescent="0.25">
      <c r="A1" s="176"/>
      <c r="B1" s="176"/>
      <c r="C1" s="176"/>
      <c r="D1" s="176"/>
      <c r="E1" s="176"/>
      <c r="F1" s="176"/>
      <c r="G1" s="176"/>
      <c r="H1" s="176"/>
      <c r="I1" s="176"/>
      <c r="J1" s="2"/>
      <c r="K1" s="2"/>
      <c r="L1" s="2"/>
      <c r="M1" s="2"/>
      <c r="N1" s="2"/>
      <c r="O1" s="2"/>
      <c r="P1" s="2"/>
      <c r="Q1" s="2"/>
      <c r="R1" s="2"/>
      <c r="S1" s="2"/>
      <c r="T1" s="2"/>
    </row>
    <row r="2" spans="1:20" x14ac:dyDescent="0.25">
      <c r="A2" s="176"/>
      <c r="B2" s="170"/>
      <c r="C2" s="170"/>
      <c r="D2" s="170"/>
      <c r="E2" s="170"/>
      <c r="F2" s="170"/>
      <c r="G2" s="170"/>
      <c r="H2" s="170"/>
      <c r="I2" s="176"/>
      <c r="J2" s="2"/>
      <c r="K2" s="2"/>
      <c r="L2" s="2"/>
      <c r="M2" s="2"/>
      <c r="N2" s="2"/>
      <c r="O2" s="2"/>
      <c r="P2" s="2"/>
      <c r="Q2" s="2"/>
      <c r="R2" s="2"/>
      <c r="S2" s="2"/>
      <c r="T2" s="2"/>
    </row>
    <row r="3" spans="1:20" ht="22.5" x14ac:dyDescent="0.45">
      <c r="A3" s="176"/>
      <c r="B3" s="348" t="s">
        <v>511</v>
      </c>
      <c r="C3" s="349"/>
      <c r="D3" s="349"/>
      <c r="E3" s="349"/>
      <c r="F3" s="349"/>
      <c r="G3" s="349"/>
      <c r="H3" s="350"/>
      <c r="I3" s="176"/>
      <c r="J3" s="2"/>
      <c r="K3" s="2"/>
      <c r="L3" s="2"/>
      <c r="M3" s="2"/>
      <c r="N3" s="2"/>
      <c r="O3" s="2"/>
      <c r="P3" s="2"/>
      <c r="Q3" s="2"/>
      <c r="R3" s="2"/>
      <c r="S3" s="2"/>
      <c r="T3" s="2"/>
    </row>
    <row r="4" spans="1:20" ht="22.5" x14ac:dyDescent="0.45">
      <c r="A4" s="176"/>
      <c r="B4" s="351" t="s">
        <v>483</v>
      </c>
      <c r="C4" s="352"/>
      <c r="D4" s="352"/>
      <c r="E4" s="352"/>
      <c r="F4" s="352"/>
      <c r="G4" s="352"/>
      <c r="H4" s="353"/>
      <c r="I4" s="176"/>
      <c r="J4" s="2"/>
      <c r="K4" s="2"/>
      <c r="L4" s="2"/>
      <c r="M4" s="2"/>
      <c r="N4" s="2"/>
      <c r="O4" s="2"/>
      <c r="P4" s="2"/>
      <c r="Q4" s="2"/>
      <c r="R4" s="2"/>
      <c r="S4" s="2"/>
      <c r="T4" s="2"/>
    </row>
    <row r="5" spans="1:20" x14ac:dyDescent="0.25">
      <c r="A5" s="176"/>
      <c r="B5" s="170"/>
      <c r="C5" s="170"/>
      <c r="D5" s="170"/>
      <c r="E5" s="170"/>
      <c r="F5" s="170"/>
      <c r="G5" s="170"/>
      <c r="H5" s="170"/>
      <c r="I5" s="176"/>
      <c r="J5" s="2"/>
      <c r="K5" s="2"/>
      <c r="L5" s="2"/>
      <c r="M5" s="2"/>
      <c r="N5" s="2"/>
      <c r="O5" s="2"/>
      <c r="P5" s="2"/>
      <c r="Q5" s="2"/>
      <c r="R5" s="2"/>
      <c r="S5" s="2"/>
      <c r="T5" s="2"/>
    </row>
    <row r="6" spans="1:20" x14ac:dyDescent="0.25">
      <c r="A6" s="176"/>
      <c r="B6" s="170"/>
      <c r="C6" s="170"/>
      <c r="D6" s="223" t="s">
        <v>550</v>
      </c>
      <c r="E6" s="170"/>
      <c r="F6" s="354" t="s">
        <v>523</v>
      </c>
      <c r="G6" s="355"/>
      <c r="H6" s="170"/>
      <c r="I6" s="176"/>
      <c r="J6" s="2"/>
      <c r="K6" s="2"/>
      <c r="L6" s="2"/>
      <c r="M6" s="2"/>
      <c r="N6" s="2"/>
      <c r="O6" s="2"/>
      <c r="P6" s="2"/>
      <c r="Q6" s="2"/>
      <c r="R6" s="2"/>
      <c r="S6" s="2"/>
      <c r="T6" s="2"/>
    </row>
    <row r="7" spans="1:20" x14ac:dyDescent="0.25">
      <c r="A7" s="176"/>
      <c r="B7" s="170"/>
      <c r="C7" s="170"/>
      <c r="D7" s="170"/>
      <c r="E7" s="170"/>
      <c r="F7" s="356"/>
      <c r="G7" s="357"/>
      <c r="H7" s="170"/>
      <c r="I7" s="176"/>
      <c r="J7" s="2"/>
      <c r="K7" s="2"/>
      <c r="L7" s="2"/>
      <c r="M7" s="2"/>
      <c r="N7" s="2"/>
      <c r="O7" s="2"/>
      <c r="P7" s="2"/>
      <c r="Q7" s="2"/>
      <c r="R7" s="2"/>
      <c r="S7" s="2"/>
      <c r="T7" s="2"/>
    </row>
    <row r="8" spans="1:20" x14ac:dyDescent="0.25">
      <c r="A8" s="176"/>
      <c r="B8" s="170"/>
      <c r="C8" s="170"/>
      <c r="D8" s="223" t="s">
        <v>551</v>
      </c>
      <c r="E8" s="170"/>
      <c r="F8" s="358"/>
      <c r="G8" s="359"/>
      <c r="H8" s="170"/>
      <c r="I8" s="176"/>
      <c r="J8" s="2"/>
      <c r="K8" s="2"/>
      <c r="L8" s="2"/>
      <c r="M8" s="2"/>
      <c r="N8" s="2"/>
      <c r="O8" s="2"/>
      <c r="P8" s="2"/>
      <c r="Q8" s="2"/>
      <c r="R8" s="2"/>
      <c r="S8" s="2"/>
      <c r="T8" s="2"/>
    </row>
    <row r="9" spans="1:20" x14ac:dyDescent="0.25">
      <c r="A9" s="176"/>
      <c r="B9" s="170"/>
      <c r="C9" s="170"/>
      <c r="D9" s="170"/>
      <c r="E9" s="170"/>
      <c r="F9" s="170"/>
      <c r="G9" s="170"/>
      <c r="H9" s="170"/>
      <c r="I9" s="176"/>
      <c r="J9" s="2"/>
      <c r="K9" s="2"/>
      <c r="L9" s="2"/>
      <c r="M9" s="2"/>
      <c r="N9" s="2"/>
      <c r="O9" s="2"/>
      <c r="P9" s="2"/>
      <c r="Q9" s="2"/>
      <c r="R9" s="2"/>
      <c r="S9" s="2"/>
      <c r="T9" s="2"/>
    </row>
    <row r="10" spans="1:20" ht="16.5" x14ac:dyDescent="0.3">
      <c r="A10" s="176"/>
      <c r="B10" s="170"/>
      <c r="C10" s="347" t="s">
        <v>2</v>
      </c>
      <c r="D10" s="347" t="s">
        <v>507</v>
      </c>
      <c r="E10" s="346" t="s">
        <v>511</v>
      </c>
      <c r="F10" s="346"/>
      <c r="G10" s="346"/>
      <c r="H10" s="170"/>
      <c r="I10" s="176"/>
      <c r="J10" s="2"/>
      <c r="K10" s="2"/>
      <c r="L10" s="2"/>
      <c r="M10" s="2"/>
      <c r="N10" s="2"/>
      <c r="O10" s="2"/>
      <c r="P10" s="2"/>
      <c r="Q10" s="2"/>
      <c r="R10" s="2"/>
      <c r="S10" s="2"/>
      <c r="T10" s="2"/>
    </row>
    <row r="11" spans="1:20" ht="16.5" x14ac:dyDescent="0.25">
      <c r="A11" s="176"/>
      <c r="B11" s="170"/>
      <c r="C11" s="347"/>
      <c r="D11" s="347"/>
      <c r="E11" s="205" t="s">
        <v>508</v>
      </c>
      <c r="F11" s="205" t="s">
        <v>509</v>
      </c>
      <c r="G11" s="205" t="s">
        <v>510</v>
      </c>
      <c r="H11" s="170"/>
      <c r="I11" s="176"/>
      <c r="J11" s="2"/>
      <c r="K11" s="2"/>
      <c r="L11" s="2"/>
      <c r="M11" s="2"/>
      <c r="N11" s="2"/>
      <c r="O11" s="2"/>
      <c r="P11" s="2"/>
      <c r="Q11" s="2"/>
      <c r="R11" s="2"/>
      <c r="S11" s="2"/>
      <c r="T11" s="2"/>
    </row>
    <row r="12" spans="1:20" ht="16.5" x14ac:dyDescent="0.25">
      <c r="A12" s="176"/>
      <c r="B12" s="170"/>
      <c r="C12" s="347"/>
      <c r="D12" s="347"/>
      <c r="E12" s="206">
        <f>IDENTITAS!H5</f>
        <v>0</v>
      </c>
      <c r="F12" s="206">
        <f>IDENTITAS!H7</f>
        <v>0</v>
      </c>
      <c r="G12" s="206">
        <f>IDENTITAS!H9</f>
        <v>0</v>
      </c>
      <c r="H12" s="170"/>
      <c r="I12" s="176"/>
      <c r="J12" s="2"/>
      <c r="K12" s="2"/>
      <c r="L12" s="2"/>
      <c r="M12" s="2"/>
      <c r="N12" s="2"/>
      <c r="O12" s="2"/>
      <c r="P12" s="2"/>
      <c r="Q12" s="2"/>
      <c r="R12" s="2"/>
      <c r="S12" s="2"/>
      <c r="T12" s="2"/>
    </row>
    <row r="13" spans="1:20" ht="16.5" x14ac:dyDescent="0.25">
      <c r="A13" s="176"/>
      <c r="B13" s="170"/>
      <c r="C13" s="202">
        <v>1</v>
      </c>
      <c r="D13" s="203">
        <f>'Data Siswa'!D6</f>
        <v>0</v>
      </c>
      <c r="E13" s="204"/>
      <c r="F13" s="204"/>
      <c r="G13" s="204"/>
      <c r="H13" s="170"/>
      <c r="I13" s="176"/>
      <c r="J13" s="2"/>
      <c r="K13" s="2"/>
      <c r="L13" s="2"/>
      <c r="M13" s="2"/>
      <c r="N13" s="2"/>
      <c r="O13" s="2"/>
      <c r="P13" s="2"/>
      <c r="Q13" s="2"/>
      <c r="R13" s="2"/>
      <c r="S13" s="2"/>
      <c r="T13" s="2"/>
    </row>
    <row r="14" spans="1:20" ht="16.5" x14ac:dyDescent="0.25">
      <c r="A14" s="176"/>
      <c r="B14" s="170"/>
      <c r="C14" s="202">
        <v>2</v>
      </c>
      <c r="D14" s="203">
        <f>'Data Siswa'!D7</f>
        <v>0</v>
      </c>
      <c r="E14" s="204"/>
      <c r="F14" s="204"/>
      <c r="G14" s="204"/>
      <c r="H14" s="170"/>
      <c r="I14" s="176"/>
      <c r="J14" s="2"/>
      <c r="K14" s="2"/>
      <c r="L14" s="2"/>
      <c r="M14" s="2"/>
      <c r="N14" s="2"/>
      <c r="O14" s="2"/>
      <c r="P14" s="2"/>
      <c r="Q14" s="2"/>
      <c r="R14" s="2"/>
      <c r="S14" s="2"/>
      <c r="T14" s="2"/>
    </row>
    <row r="15" spans="1:20" ht="16.5" x14ac:dyDescent="0.25">
      <c r="A15" s="176"/>
      <c r="B15" s="170"/>
      <c r="C15" s="202">
        <v>3</v>
      </c>
      <c r="D15" s="203">
        <f>'Data Siswa'!D8</f>
        <v>0</v>
      </c>
      <c r="E15" s="204"/>
      <c r="F15" s="204"/>
      <c r="G15" s="204"/>
      <c r="H15" s="170"/>
      <c r="I15" s="176"/>
      <c r="J15" s="2"/>
      <c r="K15" s="2"/>
      <c r="L15" s="2"/>
      <c r="M15" s="2"/>
      <c r="N15" s="2"/>
      <c r="O15" s="2"/>
      <c r="P15" s="2"/>
      <c r="Q15" s="2"/>
      <c r="R15" s="2"/>
      <c r="S15" s="2"/>
      <c r="T15" s="2"/>
    </row>
    <row r="16" spans="1:20" ht="16.5" x14ac:dyDescent="0.25">
      <c r="A16" s="176"/>
      <c r="B16" s="170"/>
      <c r="C16" s="202">
        <v>4</v>
      </c>
      <c r="D16" s="203">
        <f>'Data Siswa'!D9</f>
        <v>0</v>
      </c>
      <c r="E16" s="204"/>
      <c r="F16" s="204"/>
      <c r="G16" s="204"/>
      <c r="H16" s="170"/>
      <c r="I16" s="176"/>
      <c r="J16" s="2"/>
      <c r="K16" s="2"/>
      <c r="L16" s="2"/>
      <c r="M16" s="2"/>
      <c r="N16" s="2"/>
      <c r="O16" s="2"/>
      <c r="P16" s="2"/>
      <c r="Q16" s="2"/>
      <c r="R16" s="2"/>
      <c r="S16" s="2"/>
      <c r="T16" s="2"/>
    </row>
    <row r="17" spans="1:20" ht="16.5" x14ac:dyDescent="0.25">
      <c r="A17" s="176"/>
      <c r="B17" s="170"/>
      <c r="C17" s="202">
        <v>5</v>
      </c>
      <c r="D17" s="203">
        <f>'Data Siswa'!D10</f>
        <v>0</v>
      </c>
      <c r="E17" s="204"/>
      <c r="F17" s="204"/>
      <c r="G17" s="204"/>
      <c r="H17" s="170"/>
      <c r="I17" s="176"/>
      <c r="J17" s="2"/>
      <c r="K17" s="2"/>
      <c r="L17" s="2"/>
      <c r="M17" s="2"/>
      <c r="N17" s="2"/>
      <c r="O17" s="2"/>
      <c r="P17" s="2"/>
      <c r="Q17" s="2"/>
      <c r="R17" s="2"/>
      <c r="S17" s="2"/>
      <c r="T17" s="2"/>
    </row>
    <row r="18" spans="1:20" ht="16.5" x14ac:dyDescent="0.25">
      <c r="A18" s="176"/>
      <c r="B18" s="170"/>
      <c r="C18" s="202">
        <v>6</v>
      </c>
      <c r="D18" s="203">
        <f>'Data Siswa'!D11</f>
        <v>0</v>
      </c>
      <c r="E18" s="204"/>
      <c r="F18" s="204"/>
      <c r="G18" s="204"/>
      <c r="H18" s="170"/>
      <c r="I18" s="176"/>
      <c r="J18" s="2"/>
      <c r="K18" s="2"/>
      <c r="L18" s="2"/>
      <c r="M18" s="2"/>
      <c r="N18" s="2"/>
      <c r="O18" s="2"/>
      <c r="P18" s="2"/>
      <c r="Q18" s="2"/>
      <c r="R18" s="2"/>
      <c r="S18" s="2"/>
      <c r="T18" s="2"/>
    </row>
    <row r="19" spans="1:20" ht="16.5" x14ac:dyDescent="0.25">
      <c r="A19" s="176"/>
      <c r="B19" s="170"/>
      <c r="C19" s="202">
        <v>7</v>
      </c>
      <c r="D19" s="203">
        <f>'Data Siswa'!D12</f>
        <v>0</v>
      </c>
      <c r="E19" s="204"/>
      <c r="F19" s="204"/>
      <c r="G19" s="204"/>
      <c r="H19" s="170"/>
      <c r="I19" s="176"/>
      <c r="J19" s="2"/>
      <c r="K19" s="2"/>
      <c r="L19" s="2"/>
      <c r="M19" s="2"/>
      <c r="N19" s="2"/>
      <c r="O19" s="2"/>
      <c r="P19" s="2"/>
      <c r="Q19" s="2"/>
      <c r="R19" s="2"/>
      <c r="S19" s="2"/>
      <c r="T19" s="2"/>
    </row>
    <row r="20" spans="1:20" ht="16.5" x14ac:dyDescent="0.25">
      <c r="A20" s="176"/>
      <c r="B20" s="170"/>
      <c r="C20" s="202">
        <v>8</v>
      </c>
      <c r="D20" s="203">
        <f>'Data Siswa'!D13</f>
        <v>0</v>
      </c>
      <c r="E20" s="204"/>
      <c r="F20" s="204"/>
      <c r="G20" s="204"/>
      <c r="H20" s="170"/>
      <c r="I20" s="176"/>
      <c r="J20" s="2"/>
      <c r="K20" s="2"/>
      <c r="L20" s="2"/>
      <c r="M20" s="2"/>
      <c r="N20" s="2"/>
      <c r="O20" s="2"/>
      <c r="P20" s="2"/>
      <c r="Q20" s="2"/>
      <c r="R20" s="2"/>
      <c r="S20" s="2"/>
      <c r="T20" s="2"/>
    </row>
    <row r="21" spans="1:20" ht="16.5" x14ac:dyDescent="0.25">
      <c r="A21" s="176"/>
      <c r="B21" s="170"/>
      <c r="C21" s="202">
        <v>9</v>
      </c>
      <c r="D21" s="203">
        <f>'Data Siswa'!D14</f>
        <v>0</v>
      </c>
      <c r="E21" s="204"/>
      <c r="F21" s="204"/>
      <c r="G21" s="204"/>
      <c r="H21" s="170"/>
      <c r="I21" s="176"/>
      <c r="J21" s="2"/>
      <c r="K21" s="2"/>
      <c r="L21" s="2"/>
      <c r="M21" s="2"/>
      <c r="N21" s="2"/>
      <c r="O21" s="2"/>
      <c r="P21" s="2"/>
      <c r="Q21" s="2"/>
      <c r="R21" s="2"/>
      <c r="S21" s="2"/>
      <c r="T21" s="2"/>
    </row>
    <row r="22" spans="1:20" ht="16.5" x14ac:dyDescent="0.25">
      <c r="A22" s="176"/>
      <c r="B22" s="170"/>
      <c r="C22" s="202">
        <v>10</v>
      </c>
      <c r="D22" s="203">
        <f>'Data Siswa'!D15</f>
        <v>0</v>
      </c>
      <c r="E22" s="204"/>
      <c r="F22" s="204"/>
      <c r="G22" s="204"/>
      <c r="H22" s="170"/>
      <c r="I22" s="176"/>
      <c r="J22" s="2"/>
      <c r="K22" s="2"/>
      <c r="L22" s="2"/>
      <c r="M22" s="2"/>
      <c r="N22" s="2"/>
      <c r="O22" s="2"/>
      <c r="P22" s="2"/>
      <c r="Q22" s="2"/>
      <c r="R22" s="2"/>
      <c r="S22" s="2"/>
      <c r="T22" s="2"/>
    </row>
    <row r="23" spans="1:20" ht="16.5" x14ac:dyDescent="0.25">
      <c r="A23" s="176"/>
      <c r="B23" s="170"/>
      <c r="C23" s="202">
        <v>11</v>
      </c>
      <c r="D23" s="203">
        <f>'Data Siswa'!D16</f>
        <v>0</v>
      </c>
      <c r="E23" s="204"/>
      <c r="F23" s="204"/>
      <c r="G23" s="204"/>
      <c r="H23" s="170"/>
      <c r="I23" s="176"/>
      <c r="J23" s="2"/>
      <c r="K23" s="2"/>
      <c r="L23" s="2"/>
      <c r="M23" s="2"/>
      <c r="N23" s="2"/>
      <c r="O23" s="2"/>
      <c r="P23" s="2"/>
      <c r="Q23" s="2"/>
      <c r="R23" s="2"/>
      <c r="S23" s="2"/>
      <c r="T23" s="2"/>
    </row>
    <row r="24" spans="1:20" ht="16.5" x14ac:dyDescent="0.25">
      <c r="A24" s="176"/>
      <c r="B24" s="170"/>
      <c r="C24" s="202">
        <v>12</v>
      </c>
      <c r="D24" s="203">
        <f>'Data Siswa'!D17</f>
        <v>0</v>
      </c>
      <c r="E24" s="204"/>
      <c r="F24" s="204"/>
      <c r="G24" s="204"/>
      <c r="H24" s="170"/>
      <c r="I24" s="176"/>
      <c r="J24" s="2"/>
      <c r="K24" s="2"/>
      <c r="L24" s="2"/>
      <c r="M24" s="2"/>
      <c r="N24" s="2"/>
      <c r="O24" s="2"/>
      <c r="P24" s="2"/>
      <c r="Q24" s="2"/>
      <c r="R24" s="2"/>
      <c r="S24" s="2"/>
      <c r="T24" s="2"/>
    </row>
    <row r="25" spans="1:20" ht="16.5" x14ac:dyDescent="0.25">
      <c r="A25" s="176"/>
      <c r="B25" s="170"/>
      <c r="C25" s="202">
        <v>13</v>
      </c>
      <c r="D25" s="203">
        <f>'Data Siswa'!D18</f>
        <v>0</v>
      </c>
      <c r="E25" s="204"/>
      <c r="F25" s="204"/>
      <c r="G25" s="204"/>
      <c r="H25" s="170"/>
      <c r="I25" s="176"/>
      <c r="J25" s="2"/>
      <c r="K25" s="2"/>
      <c r="L25" s="2"/>
      <c r="M25" s="2"/>
      <c r="N25" s="2"/>
      <c r="O25" s="2"/>
      <c r="P25" s="2"/>
      <c r="Q25" s="2"/>
      <c r="R25" s="2"/>
      <c r="S25" s="2"/>
      <c r="T25" s="2"/>
    </row>
    <row r="26" spans="1:20" ht="16.5" x14ac:dyDescent="0.25">
      <c r="A26" s="176"/>
      <c r="B26" s="170"/>
      <c r="C26" s="202">
        <v>14</v>
      </c>
      <c r="D26" s="203">
        <f>'Data Siswa'!D19</f>
        <v>0</v>
      </c>
      <c r="E26" s="204"/>
      <c r="F26" s="204"/>
      <c r="G26" s="204"/>
      <c r="H26" s="170"/>
      <c r="I26" s="176"/>
      <c r="J26" s="2"/>
      <c r="K26" s="2"/>
      <c r="L26" s="2"/>
      <c r="M26" s="2"/>
      <c r="N26" s="2"/>
      <c r="O26" s="2"/>
      <c r="P26" s="2"/>
      <c r="Q26" s="2"/>
      <c r="R26" s="2"/>
      <c r="S26" s="2"/>
      <c r="T26" s="2"/>
    </row>
    <row r="27" spans="1:20" ht="16.5" x14ac:dyDescent="0.25">
      <c r="A27" s="176"/>
      <c r="B27" s="170"/>
      <c r="C27" s="202">
        <v>15</v>
      </c>
      <c r="D27" s="203">
        <f>'Data Siswa'!D20</f>
        <v>0</v>
      </c>
      <c r="E27" s="204"/>
      <c r="F27" s="204"/>
      <c r="G27" s="204"/>
      <c r="H27" s="170"/>
      <c r="I27" s="176"/>
      <c r="J27" s="2"/>
      <c r="K27" s="2"/>
      <c r="L27" s="2"/>
      <c r="M27" s="2"/>
      <c r="N27" s="2"/>
      <c r="O27" s="2"/>
      <c r="P27" s="2"/>
      <c r="Q27" s="2"/>
      <c r="R27" s="2"/>
      <c r="S27" s="2"/>
      <c r="T27" s="2"/>
    </row>
    <row r="28" spans="1:20" ht="16.5" x14ac:dyDescent="0.25">
      <c r="A28" s="176"/>
      <c r="B28" s="170"/>
      <c r="C28" s="202">
        <v>16</v>
      </c>
      <c r="D28" s="203">
        <f>'Data Siswa'!D21</f>
        <v>0</v>
      </c>
      <c r="E28" s="204"/>
      <c r="F28" s="204"/>
      <c r="G28" s="204"/>
      <c r="H28" s="170"/>
      <c r="I28" s="176"/>
      <c r="J28" s="2"/>
      <c r="K28" s="2"/>
      <c r="L28" s="2"/>
      <c r="M28" s="2"/>
      <c r="N28" s="2"/>
      <c r="O28" s="2"/>
      <c r="P28" s="2"/>
      <c r="Q28" s="2"/>
      <c r="R28" s="2"/>
      <c r="S28" s="2"/>
      <c r="T28" s="2"/>
    </row>
    <row r="29" spans="1:20" ht="16.5" x14ac:dyDescent="0.25">
      <c r="A29" s="176"/>
      <c r="B29" s="170"/>
      <c r="C29" s="202">
        <v>17</v>
      </c>
      <c r="D29" s="203">
        <f>'Data Siswa'!D22</f>
        <v>0</v>
      </c>
      <c r="E29" s="204"/>
      <c r="F29" s="204"/>
      <c r="G29" s="204"/>
      <c r="H29" s="170"/>
      <c r="I29" s="176"/>
      <c r="J29" s="2"/>
      <c r="K29" s="2"/>
      <c r="L29" s="2"/>
      <c r="M29" s="2"/>
      <c r="N29" s="2"/>
      <c r="O29" s="2"/>
      <c r="P29" s="2"/>
      <c r="Q29" s="2"/>
      <c r="R29" s="2"/>
      <c r="S29" s="2"/>
      <c r="T29" s="2"/>
    </row>
    <row r="30" spans="1:20" ht="16.5" x14ac:dyDescent="0.25">
      <c r="A30" s="176"/>
      <c r="B30" s="170"/>
      <c r="C30" s="202">
        <v>18</v>
      </c>
      <c r="D30" s="203">
        <f>'Data Siswa'!D23</f>
        <v>0</v>
      </c>
      <c r="E30" s="204"/>
      <c r="F30" s="204"/>
      <c r="G30" s="204"/>
      <c r="H30" s="170"/>
      <c r="I30" s="176"/>
      <c r="J30" s="2"/>
      <c r="K30" s="2"/>
      <c r="L30" s="2"/>
      <c r="M30" s="2"/>
      <c r="N30" s="2"/>
      <c r="O30" s="2"/>
      <c r="P30" s="2"/>
      <c r="Q30" s="2"/>
      <c r="R30" s="2"/>
      <c r="S30" s="2"/>
      <c r="T30" s="2"/>
    </row>
    <row r="31" spans="1:20" ht="16.5" x14ac:dyDescent="0.25">
      <c r="A31" s="176"/>
      <c r="B31" s="170"/>
      <c r="C31" s="202">
        <v>19</v>
      </c>
      <c r="D31" s="203">
        <f>'Data Siswa'!D24</f>
        <v>0</v>
      </c>
      <c r="E31" s="204"/>
      <c r="F31" s="204"/>
      <c r="G31" s="204"/>
      <c r="H31" s="170"/>
      <c r="I31" s="176"/>
      <c r="J31" s="2"/>
      <c r="K31" s="2"/>
      <c r="L31" s="2"/>
      <c r="M31" s="2"/>
      <c r="N31" s="2"/>
      <c r="O31" s="2"/>
      <c r="P31" s="2"/>
      <c r="Q31" s="2"/>
      <c r="R31" s="2"/>
      <c r="S31" s="2"/>
      <c r="T31" s="2"/>
    </row>
    <row r="32" spans="1:20" ht="16.5" x14ac:dyDescent="0.25">
      <c r="A32" s="176"/>
      <c r="B32" s="170"/>
      <c r="C32" s="202">
        <v>20</v>
      </c>
      <c r="D32" s="203">
        <f>'Data Siswa'!D25</f>
        <v>0</v>
      </c>
      <c r="E32" s="204"/>
      <c r="F32" s="204"/>
      <c r="G32" s="204"/>
      <c r="H32" s="170"/>
      <c r="I32" s="176"/>
      <c r="J32" s="2"/>
      <c r="K32" s="2"/>
      <c r="L32" s="2"/>
      <c r="M32" s="2"/>
      <c r="N32" s="2"/>
      <c r="O32" s="2"/>
      <c r="P32" s="2"/>
      <c r="Q32" s="2"/>
      <c r="R32" s="2"/>
      <c r="S32" s="2"/>
      <c r="T32" s="2"/>
    </row>
    <row r="33" spans="1:20" ht="16.5" x14ac:dyDescent="0.25">
      <c r="A33" s="176"/>
      <c r="B33" s="170"/>
      <c r="C33" s="202">
        <v>21</v>
      </c>
      <c r="D33" s="203">
        <f>'Data Siswa'!D26</f>
        <v>0</v>
      </c>
      <c r="E33" s="204"/>
      <c r="F33" s="204"/>
      <c r="G33" s="204"/>
      <c r="H33" s="170"/>
      <c r="I33" s="176"/>
      <c r="J33" s="2"/>
      <c r="K33" s="2"/>
      <c r="L33" s="2"/>
      <c r="M33" s="2"/>
      <c r="N33" s="2"/>
      <c r="O33" s="2"/>
      <c r="P33" s="2"/>
      <c r="Q33" s="2"/>
      <c r="R33" s="2"/>
      <c r="S33" s="2"/>
      <c r="T33" s="2"/>
    </row>
    <row r="34" spans="1:20" ht="16.5" x14ac:dyDescent="0.25">
      <c r="A34" s="176"/>
      <c r="B34" s="170"/>
      <c r="C34" s="202">
        <v>22</v>
      </c>
      <c r="D34" s="203">
        <f>'Data Siswa'!D27</f>
        <v>0</v>
      </c>
      <c r="E34" s="204"/>
      <c r="F34" s="204"/>
      <c r="G34" s="204"/>
      <c r="H34" s="170"/>
      <c r="I34" s="176"/>
      <c r="J34" s="2"/>
      <c r="K34" s="2"/>
      <c r="L34" s="2"/>
      <c r="M34" s="2"/>
      <c r="N34" s="2"/>
      <c r="O34" s="2"/>
      <c r="P34" s="2"/>
      <c r="Q34" s="2"/>
      <c r="R34" s="2"/>
      <c r="S34" s="2"/>
      <c r="T34" s="2"/>
    </row>
    <row r="35" spans="1:20" ht="16.5" x14ac:dyDescent="0.25">
      <c r="A35" s="176"/>
      <c r="B35" s="170"/>
      <c r="C35" s="202">
        <v>23</v>
      </c>
      <c r="D35" s="203">
        <f>'Data Siswa'!D28</f>
        <v>0</v>
      </c>
      <c r="E35" s="204"/>
      <c r="F35" s="204"/>
      <c r="G35" s="204"/>
      <c r="H35" s="170"/>
      <c r="I35" s="176"/>
      <c r="J35" s="2"/>
      <c r="K35" s="2"/>
      <c r="L35" s="2"/>
      <c r="M35" s="2"/>
      <c r="N35" s="2"/>
      <c r="O35" s="2"/>
      <c r="P35" s="2"/>
      <c r="Q35" s="2"/>
      <c r="R35" s="2"/>
      <c r="S35" s="2"/>
      <c r="T35" s="2"/>
    </row>
    <row r="36" spans="1:20" ht="16.5" x14ac:dyDescent="0.25">
      <c r="A36" s="176"/>
      <c r="B36" s="170"/>
      <c r="C36" s="202">
        <v>24</v>
      </c>
      <c r="D36" s="203">
        <f>'Data Siswa'!D29</f>
        <v>0</v>
      </c>
      <c r="E36" s="204"/>
      <c r="F36" s="204"/>
      <c r="G36" s="204"/>
      <c r="H36" s="170"/>
      <c r="I36" s="176"/>
      <c r="J36" s="2"/>
      <c r="K36" s="2"/>
      <c r="L36" s="2"/>
      <c r="M36" s="2"/>
      <c r="N36" s="2"/>
      <c r="O36" s="2"/>
      <c r="P36" s="2"/>
      <c r="Q36" s="2"/>
      <c r="R36" s="2"/>
      <c r="S36" s="2"/>
      <c r="T36" s="2"/>
    </row>
    <row r="37" spans="1:20" ht="16.5" x14ac:dyDescent="0.25">
      <c r="A37" s="176"/>
      <c r="B37" s="170"/>
      <c r="C37" s="202">
        <v>25</v>
      </c>
      <c r="D37" s="203">
        <f>'Data Siswa'!D30</f>
        <v>0</v>
      </c>
      <c r="E37" s="204"/>
      <c r="F37" s="204"/>
      <c r="G37" s="204"/>
      <c r="H37" s="170"/>
      <c r="I37" s="176"/>
      <c r="J37" s="2"/>
      <c r="K37" s="2"/>
      <c r="L37" s="2"/>
      <c r="M37" s="2"/>
      <c r="N37" s="2"/>
      <c r="O37" s="2"/>
      <c r="P37" s="2"/>
      <c r="Q37" s="2"/>
      <c r="R37" s="2"/>
      <c r="S37" s="2"/>
      <c r="T37" s="2"/>
    </row>
    <row r="38" spans="1:20" ht="16.5" x14ac:dyDescent="0.25">
      <c r="A38" s="176"/>
      <c r="B38" s="170"/>
      <c r="C38" s="202">
        <v>26</v>
      </c>
      <c r="D38" s="203">
        <f>'Data Siswa'!D31</f>
        <v>0</v>
      </c>
      <c r="E38" s="204"/>
      <c r="F38" s="204"/>
      <c r="G38" s="204"/>
      <c r="H38" s="170"/>
      <c r="I38" s="176"/>
      <c r="J38" s="2"/>
      <c r="K38" s="2"/>
      <c r="L38" s="2"/>
      <c r="M38" s="2"/>
      <c r="N38" s="2"/>
      <c r="O38" s="2"/>
      <c r="P38" s="2"/>
      <c r="Q38" s="2"/>
      <c r="R38" s="2"/>
      <c r="S38" s="2"/>
      <c r="T38" s="2"/>
    </row>
    <row r="39" spans="1:20" ht="16.5" x14ac:dyDescent="0.25">
      <c r="A39" s="176"/>
      <c r="B39" s="170"/>
      <c r="C39" s="202">
        <v>27</v>
      </c>
      <c r="D39" s="203">
        <f>'Data Siswa'!D32</f>
        <v>0</v>
      </c>
      <c r="E39" s="204"/>
      <c r="F39" s="204"/>
      <c r="G39" s="204"/>
      <c r="H39" s="170"/>
      <c r="I39" s="176"/>
      <c r="J39" s="2"/>
      <c r="K39" s="2"/>
      <c r="L39" s="2"/>
      <c r="M39" s="2"/>
      <c r="N39" s="2"/>
      <c r="O39" s="2"/>
      <c r="P39" s="2"/>
      <c r="Q39" s="2"/>
      <c r="R39" s="2"/>
      <c r="S39" s="2"/>
      <c r="T39" s="2"/>
    </row>
    <row r="40" spans="1:20" ht="16.5" x14ac:dyDescent="0.25">
      <c r="A40" s="176"/>
      <c r="B40" s="170"/>
      <c r="C40" s="202">
        <v>28</v>
      </c>
      <c r="D40" s="203">
        <f>'Data Siswa'!D33</f>
        <v>0</v>
      </c>
      <c r="E40" s="204"/>
      <c r="F40" s="204"/>
      <c r="G40" s="204"/>
      <c r="H40" s="170"/>
      <c r="I40" s="176"/>
      <c r="J40" s="2"/>
      <c r="K40" s="2"/>
      <c r="L40" s="2"/>
      <c r="M40" s="2"/>
      <c r="N40" s="2"/>
      <c r="O40" s="2"/>
      <c r="P40" s="2"/>
      <c r="Q40" s="2"/>
      <c r="R40" s="2"/>
      <c r="S40" s="2"/>
      <c r="T40" s="2"/>
    </row>
    <row r="41" spans="1:20" ht="16.5" x14ac:dyDescent="0.25">
      <c r="A41" s="176"/>
      <c r="B41" s="170"/>
      <c r="C41" s="202">
        <v>29</v>
      </c>
      <c r="D41" s="203">
        <f>'Data Siswa'!D34</f>
        <v>0</v>
      </c>
      <c r="E41" s="204"/>
      <c r="F41" s="204"/>
      <c r="G41" s="204"/>
      <c r="H41" s="170"/>
      <c r="I41" s="176"/>
      <c r="J41" s="2"/>
      <c r="K41" s="2"/>
      <c r="L41" s="2"/>
      <c r="M41" s="2"/>
      <c r="N41" s="2"/>
      <c r="O41" s="2"/>
      <c r="P41" s="2"/>
      <c r="Q41" s="2"/>
      <c r="R41" s="2"/>
      <c r="S41" s="2"/>
      <c r="T41" s="2"/>
    </row>
    <row r="42" spans="1:20" ht="16.5" x14ac:dyDescent="0.25">
      <c r="A42" s="176"/>
      <c r="B42" s="170"/>
      <c r="C42" s="202">
        <v>30</v>
      </c>
      <c r="D42" s="203">
        <f>'Data Siswa'!D35</f>
        <v>0</v>
      </c>
      <c r="E42" s="204"/>
      <c r="F42" s="204"/>
      <c r="G42" s="204"/>
      <c r="H42" s="170"/>
      <c r="I42" s="176"/>
      <c r="J42" s="2"/>
      <c r="K42" s="2"/>
      <c r="L42" s="2"/>
      <c r="M42" s="2"/>
      <c r="N42" s="2"/>
      <c r="O42" s="2"/>
      <c r="P42" s="2"/>
      <c r="Q42" s="2"/>
      <c r="R42" s="2"/>
      <c r="S42" s="2"/>
      <c r="T42" s="2"/>
    </row>
    <row r="43" spans="1:20" ht="16.5" x14ac:dyDescent="0.25">
      <c r="A43" s="176"/>
      <c r="B43" s="170"/>
      <c r="C43" s="202">
        <v>31</v>
      </c>
      <c r="D43" s="203">
        <f>'Data Siswa'!D36</f>
        <v>0</v>
      </c>
      <c r="E43" s="204"/>
      <c r="F43" s="204"/>
      <c r="G43" s="204"/>
      <c r="H43" s="170"/>
      <c r="I43" s="176"/>
      <c r="J43" s="2"/>
      <c r="K43" s="2"/>
      <c r="L43" s="2"/>
      <c r="M43" s="2"/>
      <c r="N43" s="2"/>
      <c r="O43" s="2"/>
      <c r="P43" s="2"/>
      <c r="Q43" s="2"/>
      <c r="R43" s="2"/>
      <c r="S43" s="2"/>
      <c r="T43" s="2"/>
    </row>
    <row r="44" spans="1:20" ht="16.5" x14ac:dyDescent="0.25">
      <c r="A44" s="176"/>
      <c r="B44" s="170"/>
      <c r="C44" s="202">
        <v>32</v>
      </c>
      <c r="D44" s="203">
        <f>'Data Siswa'!D37</f>
        <v>0</v>
      </c>
      <c r="E44" s="204"/>
      <c r="F44" s="204"/>
      <c r="G44" s="204"/>
      <c r="H44" s="170"/>
      <c r="I44" s="176"/>
      <c r="J44" s="2"/>
      <c r="K44" s="2"/>
      <c r="L44" s="2"/>
      <c r="M44" s="2"/>
      <c r="N44" s="2"/>
      <c r="O44" s="2"/>
      <c r="P44" s="2"/>
      <c r="Q44" s="2"/>
      <c r="R44" s="2"/>
      <c r="S44" s="2"/>
      <c r="T44" s="2"/>
    </row>
    <row r="45" spans="1:20" ht="16.5" x14ac:dyDescent="0.25">
      <c r="A45" s="176"/>
      <c r="B45" s="170"/>
      <c r="C45" s="202">
        <v>33</v>
      </c>
      <c r="D45" s="203">
        <f>'Data Siswa'!D38</f>
        <v>0</v>
      </c>
      <c r="E45" s="204"/>
      <c r="F45" s="204"/>
      <c r="G45" s="204"/>
      <c r="H45" s="170"/>
      <c r="I45" s="176"/>
      <c r="J45" s="2"/>
      <c r="K45" s="2"/>
      <c r="L45" s="2"/>
      <c r="M45" s="2"/>
      <c r="N45" s="2"/>
      <c r="O45" s="2"/>
      <c r="P45" s="2"/>
      <c r="Q45" s="2"/>
      <c r="R45" s="2"/>
      <c r="S45" s="2"/>
      <c r="T45" s="2"/>
    </row>
    <row r="46" spans="1:20" ht="16.5" x14ac:dyDescent="0.25">
      <c r="A46" s="176"/>
      <c r="B46" s="170"/>
      <c r="C46" s="202">
        <v>34</v>
      </c>
      <c r="D46" s="203">
        <f>'Data Siswa'!D39</f>
        <v>0</v>
      </c>
      <c r="E46" s="204"/>
      <c r="F46" s="204"/>
      <c r="G46" s="204"/>
      <c r="H46" s="170"/>
      <c r="I46" s="176"/>
      <c r="J46" s="2"/>
      <c r="K46" s="2"/>
      <c r="L46" s="2"/>
      <c r="M46" s="2"/>
      <c r="N46" s="2"/>
      <c r="O46" s="2"/>
      <c r="P46" s="2"/>
      <c r="Q46" s="2"/>
      <c r="R46" s="2"/>
      <c r="S46" s="2"/>
      <c r="T46" s="2"/>
    </row>
    <row r="47" spans="1:20" ht="16.5" x14ac:dyDescent="0.25">
      <c r="A47" s="176"/>
      <c r="B47" s="170"/>
      <c r="C47" s="202">
        <v>35</v>
      </c>
      <c r="D47" s="203">
        <f>'Data Siswa'!D40</f>
        <v>0</v>
      </c>
      <c r="E47" s="204"/>
      <c r="F47" s="204"/>
      <c r="G47" s="204"/>
      <c r="H47" s="170"/>
      <c r="I47" s="176"/>
      <c r="J47" s="2"/>
      <c r="K47" s="2"/>
      <c r="L47" s="2"/>
      <c r="M47" s="2"/>
      <c r="N47" s="2"/>
      <c r="O47" s="2"/>
      <c r="P47" s="2"/>
      <c r="Q47" s="2"/>
      <c r="R47" s="2"/>
      <c r="S47" s="2"/>
      <c r="T47" s="2"/>
    </row>
    <row r="48" spans="1:20" ht="16.5" x14ac:dyDescent="0.25">
      <c r="A48" s="176"/>
      <c r="B48" s="170"/>
      <c r="C48" s="202">
        <v>36</v>
      </c>
      <c r="D48" s="203">
        <f>'Data Siswa'!D41</f>
        <v>0</v>
      </c>
      <c r="E48" s="204"/>
      <c r="F48" s="204"/>
      <c r="G48" s="204"/>
      <c r="H48" s="170"/>
      <c r="I48" s="176"/>
      <c r="J48" s="2"/>
      <c r="K48" s="2"/>
      <c r="L48" s="2"/>
      <c r="M48" s="2"/>
      <c r="N48" s="2"/>
      <c r="O48" s="2"/>
      <c r="P48" s="2"/>
      <c r="Q48" s="2"/>
      <c r="R48" s="2"/>
      <c r="S48" s="2"/>
      <c r="T48" s="2"/>
    </row>
    <row r="49" spans="1:20" ht="16.5" x14ac:dyDescent="0.25">
      <c r="A49" s="176"/>
      <c r="B49" s="170"/>
      <c r="C49" s="202">
        <v>37</v>
      </c>
      <c r="D49" s="203">
        <f>'Data Siswa'!D42</f>
        <v>0</v>
      </c>
      <c r="E49" s="204"/>
      <c r="F49" s="204"/>
      <c r="G49" s="204"/>
      <c r="H49" s="170"/>
      <c r="I49" s="176"/>
      <c r="J49" s="2"/>
      <c r="K49" s="2"/>
      <c r="L49" s="2"/>
      <c r="M49" s="2"/>
      <c r="N49" s="2"/>
      <c r="O49" s="2"/>
      <c r="P49" s="2"/>
      <c r="Q49" s="2"/>
      <c r="R49" s="2"/>
      <c r="S49" s="2"/>
      <c r="T49" s="2"/>
    </row>
    <row r="50" spans="1:20" ht="16.5" x14ac:dyDescent="0.25">
      <c r="A50" s="176"/>
      <c r="B50" s="170"/>
      <c r="C50" s="202">
        <v>38</v>
      </c>
      <c r="D50" s="203">
        <f>'Data Siswa'!D43</f>
        <v>0</v>
      </c>
      <c r="E50" s="204"/>
      <c r="F50" s="204"/>
      <c r="G50" s="204"/>
      <c r="H50" s="170"/>
      <c r="I50" s="176"/>
      <c r="J50" s="2"/>
      <c r="K50" s="2"/>
      <c r="L50" s="2"/>
      <c r="M50" s="2"/>
      <c r="N50" s="2"/>
      <c r="O50" s="2"/>
      <c r="P50" s="2"/>
      <c r="Q50" s="2"/>
      <c r="R50" s="2"/>
      <c r="S50" s="2"/>
      <c r="T50" s="2"/>
    </row>
    <row r="51" spans="1:20" ht="16.5" x14ac:dyDescent="0.25">
      <c r="A51" s="176"/>
      <c r="B51" s="170"/>
      <c r="C51" s="202">
        <v>39</v>
      </c>
      <c r="D51" s="203">
        <f>'Data Siswa'!D44</f>
        <v>0</v>
      </c>
      <c r="E51" s="204"/>
      <c r="F51" s="204"/>
      <c r="G51" s="204"/>
      <c r="H51" s="170"/>
      <c r="I51" s="176"/>
      <c r="J51" s="2"/>
      <c r="K51" s="2"/>
      <c r="L51" s="2"/>
      <c r="M51" s="2"/>
      <c r="N51" s="2"/>
      <c r="O51" s="2"/>
      <c r="P51" s="2"/>
      <c r="Q51" s="2"/>
      <c r="R51" s="2"/>
      <c r="S51" s="2"/>
      <c r="T51" s="2"/>
    </row>
    <row r="52" spans="1:20" ht="16.5" x14ac:dyDescent="0.25">
      <c r="A52" s="176"/>
      <c r="B52" s="170"/>
      <c r="C52" s="202">
        <v>40</v>
      </c>
      <c r="D52" s="203">
        <f>'Data Siswa'!D45</f>
        <v>0</v>
      </c>
      <c r="E52" s="204"/>
      <c r="F52" s="204"/>
      <c r="G52" s="204"/>
      <c r="H52" s="170"/>
      <c r="I52" s="176"/>
      <c r="J52" s="2"/>
      <c r="K52" s="2"/>
      <c r="L52" s="2"/>
      <c r="M52" s="2"/>
      <c r="N52" s="2"/>
      <c r="O52" s="2"/>
      <c r="P52" s="2"/>
      <c r="Q52" s="2"/>
      <c r="R52" s="2"/>
      <c r="S52" s="2"/>
      <c r="T52" s="2"/>
    </row>
    <row r="53" spans="1:20" ht="16.5" x14ac:dyDescent="0.25">
      <c r="A53" s="176"/>
      <c r="B53" s="170"/>
      <c r="C53" s="202">
        <v>41</v>
      </c>
      <c r="D53" s="203">
        <f>'Data Siswa'!D46</f>
        <v>0</v>
      </c>
      <c r="E53" s="204"/>
      <c r="F53" s="204"/>
      <c r="G53" s="204"/>
      <c r="H53" s="170"/>
      <c r="I53" s="176"/>
      <c r="J53" s="2"/>
      <c r="K53" s="2"/>
      <c r="L53" s="2"/>
      <c r="M53" s="2"/>
      <c r="N53" s="2"/>
      <c r="O53" s="2"/>
      <c r="P53" s="2"/>
      <c r="Q53" s="2"/>
      <c r="R53" s="2"/>
      <c r="S53" s="2"/>
      <c r="T53" s="2"/>
    </row>
    <row r="54" spans="1:20" ht="16.5" x14ac:dyDescent="0.25">
      <c r="A54" s="176"/>
      <c r="B54" s="170"/>
      <c r="C54" s="202">
        <v>42</v>
      </c>
      <c r="D54" s="203">
        <f>'Data Siswa'!D47</f>
        <v>0</v>
      </c>
      <c r="E54" s="204"/>
      <c r="F54" s="204"/>
      <c r="G54" s="204"/>
      <c r="H54" s="170"/>
      <c r="I54" s="176"/>
      <c r="J54" s="2"/>
      <c r="K54" s="2"/>
      <c r="L54" s="2"/>
      <c r="M54" s="2"/>
      <c r="N54" s="2"/>
      <c r="O54" s="2"/>
      <c r="P54" s="2"/>
      <c r="Q54" s="2"/>
      <c r="R54" s="2"/>
      <c r="S54" s="2"/>
      <c r="T54" s="2"/>
    </row>
    <row r="55" spans="1:20" ht="16.5" x14ac:dyDescent="0.25">
      <c r="A55" s="176"/>
      <c r="B55" s="170"/>
      <c r="C55" s="202">
        <v>43</v>
      </c>
      <c r="D55" s="203">
        <f>'Data Siswa'!D48</f>
        <v>0</v>
      </c>
      <c r="E55" s="204"/>
      <c r="F55" s="204"/>
      <c r="G55" s="204"/>
      <c r="H55" s="170"/>
      <c r="I55" s="176"/>
      <c r="J55" s="2"/>
      <c r="K55" s="2"/>
      <c r="L55" s="2"/>
      <c r="M55" s="2"/>
      <c r="N55" s="2"/>
      <c r="O55" s="2"/>
      <c r="P55" s="2"/>
      <c r="Q55" s="2"/>
      <c r="R55" s="2"/>
      <c r="S55" s="2"/>
      <c r="T55" s="2"/>
    </row>
    <row r="56" spans="1:20" ht="16.5" x14ac:dyDescent="0.25">
      <c r="A56" s="176"/>
      <c r="B56" s="170"/>
      <c r="C56" s="202">
        <v>44</v>
      </c>
      <c r="D56" s="203">
        <f>'Data Siswa'!D49</f>
        <v>0</v>
      </c>
      <c r="E56" s="204"/>
      <c r="F56" s="204"/>
      <c r="G56" s="204"/>
      <c r="H56" s="170"/>
      <c r="I56" s="176"/>
      <c r="J56" s="2"/>
      <c r="K56" s="2"/>
      <c r="L56" s="2"/>
      <c r="M56" s="2"/>
      <c r="N56" s="2"/>
      <c r="O56" s="2"/>
      <c r="P56" s="2"/>
      <c r="Q56" s="2"/>
      <c r="R56" s="2"/>
      <c r="S56" s="2"/>
      <c r="T56" s="2"/>
    </row>
    <row r="57" spans="1:20" ht="16.5" x14ac:dyDescent="0.25">
      <c r="A57" s="176"/>
      <c r="B57" s="170"/>
      <c r="C57" s="202">
        <v>45</v>
      </c>
      <c r="D57" s="203">
        <f>'Data Siswa'!D50</f>
        <v>0</v>
      </c>
      <c r="E57" s="204"/>
      <c r="F57" s="204"/>
      <c r="G57" s="204"/>
      <c r="H57" s="170"/>
      <c r="I57" s="176"/>
      <c r="J57" s="2"/>
      <c r="K57" s="2"/>
      <c r="L57" s="2"/>
      <c r="M57" s="2"/>
      <c r="N57" s="2"/>
      <c r="O57" s="2"/>
      <c r="P57" s="2"/>
      <c r="Q57" s="2"/>
      <c r="R57" s="2"/>
      <c r="S57" s="2"/>
      <c r="T57" s="2"/>
    </row>
    <row r="58" spans="1:20" ht="16.5" x14ac:dyDescent="0.25">
      <c r="A58" s="176"/>
      <c r="B58" s="170"/>
      <c r="C58" s="202">
        <v>46</v>
      </c>
      <c r="D58" s="203">
        <f>'Data Siswa'!D51</f>
        <v>0</v>
      </c>
      <c r="E58" s="204"/>
      <c r="F58" s="204"/>
      <c r="G58" s="204"/>
      <c r="H58" s="170"/>
      <c r="I58" s="176"/>
      <c r="J58" s="2"/>
      <c r="K58" s="2"/>
      <c r="L58" s="2"/>
      <c r="M58" s="2"/>
      <c r="N58" s="2"/>
      <c r="O58" s="2"/>
      <c r="P58" s="2"/>
      <c r="Q58" s="2"/>
      <c r="R58" s="2"/>
      <c r="S58" s="2"/>
      <c r="T58" s="2"/>
    </row>
    <row r="59" spans="1:20" ht="16.5" x14ac:dyDescent="0.25">
      <c r="A59" s="176"/>
      <c r="B59" s="170"/>
      <c r="C59" s="202">
        <v>47</v>
      </c>
      <c r="D59" s="203">
        <f>'Data Siswa'!D52</f>
        <v>0</v>
      </c>
      <c r="E59" s="204"/>
      <c r="F59" s="204"/>
      <c r="G59" s="204"/>
      <c r="H59" s="170"/>
      <c r="I59" s="176"/>
      <c r="J59" s="2"/>
      <c r="K59" s="2"/>
      <c r="L59" s="2"/>
      <c r="M59" s="2"/>
      <c r="N59" s="2"/>
      <c r="O59" s="2"/>
      <c r="P59" s="2"/>
      <c r="Q59" s="2"/>
      <c r="R59" s="2"/>
      <c r="S59" s="2"/>
      <c r="T59" s="2"/>
    </row>
    <row r="60" spans="1:20" ht="16.5" x14ac:dyDescent="0.25">
      <c r="A60" s="176"/>
      <c r="B60" s="170"/>
      <c r="C60" s="202">
        <v>48</v>
      </c>
      <c r="D60" s="203">
        <f>'Data Siswa'!D53</f>
        <v>0</v>
      </c>
      <c r="E60" s="204"/>
      <c r="F60" s="204"/>
      <c r="G60" s="204"/>
      <c r="H60" s="170"/>
      <c r="I60" s="176"/>
      <c r="J60" s="2"/>
      <c r="K60" s="2"/>
      <c r="L60" s="2"/>
      <c r="M60" s="2"/>
      <c r="N60" s="2"/>
      <c r="O60" s="2"/>
      <c r="P60" s="2"/>
      <c r="Q60" s="2"/>
      <c r="R60" s="2"/>
      <c r="S60" s="2"/>
      <c r="T60" s="2"/>
    </row>
    <row r="61" spans="1:20" ht="16.5" x14ac:dyDescent="0.25">
      <c r="A61" s="176"/>
      <c r="B61" s="170"/>
      <c r="C61" s="202">
        <v>49</v>
      </c>
      <c r="D61" s="203">
        <f>'Data Siswa'!D54</f>
        <v>0</v>
      </c>
      <c r="E61" s="204"/>
      <c r="F61" s="204"/>
      <c r="G61" s="204"/>
      <c r="H61" s="170"/>
      <c r="I61" s="176"/>
      <c r="J61" s="2"/>
      <c r="K61" s="2"/>
      <c r="L61" s="2"/>
      <c r="M61" s="2"/>
      <c r="N61" s="2"/>
      <c r="O61" s="2"/>
      <c r="P61" s="2"/>
      <c r="Q61" s="2"/>
      <c r="R61" s="2"/>
      <c r="S61" s="2"/>
      <c r="T61" s="2"/>
    </row>
    <row r="62" spans="1:20" ht="16.5" x14ac:dyDescent="0.25">
      <c r="A62" s="176"/>
      <c r="B62" s="170"/>
      <c r="C62" s="202">
        <v>50</v>
      </c>
      <c r="D62" s="203">
        <f>'Data Siswa'!D55</f>
        <v>0</v>
      </c>
      <c r="E62" s="204"/>
      <c r="F62" s="204"/>
      <c r="G62" s="204"/>
      <c r="H62" s="170"/>
      <c r="I62" s="176"/>
      <c r="J62" s="2"/>
      <c r="K62" s="2"/>
      <c r="L62" s="2"/>
      <c r="M62" s="2"/>
      <c r="N62" s="2"/>
      <c r="O62" s="2"/>
      <c r="P62" s="2"/>
      <c r="Q62" s="2"/>
      <c r="R62" s="2"/>
      <c r="S62" s="2"/>
      <c r="T62" s="2"/>
    </row>
    <row r="63" spans="1:20" x14ac:dyDescent="0.25">
      <c r="A63" s="176"/>
      <c r="B63" s="170"/>
      <c r="C63" s="170"/>
      <c r="D63" s="170"/>
      <c r="E63" s="170"/>
      <c r="F63" s="170"/>
      <c r="G63" s="170"/>
      <c r="H63" s="170"/>
      <c r="I63" s="176"/>
      <c r="J63" s="2"/>
      <c r="K63" s="2"/>
      <c r="L63" s="2"/>
      <c r="M63" s="2"/>
      <c r="N63" s="2"/>
      <c r="O63" s="2"/>
      <c r="P63" s="2"/>
      <c r="Q63" s="2"/>
      <c r="R63" s="2"/>
      <c r="S63" s="2"/>
      <c r="T63" s="2"/>
    </row>
    <row r="64" spans="1:20" x14ac:dyDescent="0.25">
      <c r="A64" s="176"/>
      <c r="B64" s="170"/>
      <c r="C64" s="170"/>
      <c r="D64" s="170"/>
      <c r="E64" s="170"/>
      <c r="F64" s="170"/>
      <c r="G64" s="170"/>
      <c r="H64" s="170"/>
      <c r="I64" s="176"/>
      <c r="J64" s="2"/>
      <c r="K64" s="2"/>
      <c r="L64" s="2"/>
      <c r="M64" s="2"/>
      <c r="N64" s="2"/>
      <c r="O64" s="2"/>
      <c r="P64" s="2"/>
      <c r="Q64" s="2"/>
      <c r="R64" s="2"/>
      <c r="S64" s="2"/>
      <c r="T64" s="2"/>
    </row>
    <row r="65" spans="1:20" x14ac:dyDescent="0.25">
      <c r="A65" s="176"/>
      <c r="B65" s="170"/>
      <c r="C65" s="170"/>
      <c r="D65" s="170"/>
      <c r="E65" s="170"/>
      <c r="F65" s="170"/>
      <c r="G65" s="170"/>
      <c r="H65" s="170"/>
      <c r="I65" s="176"/>
      <c r="J65" s="2"/>
      <c r="K65" s="2"/>
      <c r="L65" s="2"/>
      <c r="M65" s="2"/>
      <c r="N65" s="2"/>
      <c r="O65" s="2"/>
      <c r="P65" s="2"/>
      <c r="Q65" s="2"/>
      <c r="R65" s="2"/>
      <c r="S65" s="2"/>
      <c r="T65" s="2"/>
    </row>
    <row r="66" spans="1:20" x14ac:dyDescent="0.25">
      <c r="A66" s="176"/>
      <c r="B66" s="170"/>
      <c r="C66" s="170"/>
      <c r="D66" s="170"/>
      <c r="E66" s="170"/>
      <c r="F66" s="170"/>
      <c r="G66" s="170"/>
      <c r="H66" s="170"/>
      <c r="I66" s="176"/>
      <c r="J66" s="2"/>
      <c r="K66" s="2"/>
      <c r="L66" s="2"/>
      <c r="M66" s="2"/>
      <c r="N66" s="2"/>
      <c r="O66" s="2"/>
      <c r="P66" s="2"/>
      <c r="Q66" s="2"/>
      <c r="R66" s="2"/>
      <c r="S66" s="2"/>
      <c r="T66" s="2"/>
    </row>
    <row r="67" spans="1:20" x14ac:dyDescent="0.25">
      <c r="A67" s="176"/>
      <c r="B67" s="170"/>
      <c r="C67" s="170"/>
      <c r="D67" s="170"/>
      <c r="E67" s="170"/>
      <c r="F67" s="170"/>
      <c r="G67" s="170"/>
      <c r="H67" s="170"/>
      <c r="I67" s="176"/>
      <c r="J67" s="2"/>
      <c r="K67" s="2"/>
      <c r="L67" s="2"/>
      <c r="M67" s="2"/>
      <c r="N67" s="2"/>
      <c r="O67" s="2"/>
      <c r="P67" s="2"/>
      <c r="Q67" s="2"/>
      <c r="R67" s="2"/>
      <c r="S67" s="2"/>
      <c r="T67" s="2"/>
    </row>
    <row r="68" spans="1:20" x14ac:dyDescent="0.25">
      <c r="A68" s="176"/>
      <c r="B68" s="176"/>
      <c r="C68" s="176"/>
      <c r="D68" s="176"/>
      <c r="E68" s="176"/>
      <c r="F68" s="176"/>
      <c r="G68" s="176"/>
      <c r="H68" s="176"/>
      <c r="I68" s="176"/>
      <c r="J68" s="2"/>
      <c r="K68" s="2"/>
      <c r="L68" s="2"/>
      <c r="M68" s="2"/>
      <c r="N68" s="2"/>
      <c r="O68" s="2"/>
      <c r="P68" s="2"/>
      <c r="Q68" s="2"/>
      <c r="R68" s="2"/>
      <c r="S68" s="2"/>
      <c r="T68" s="2"/>
    </row>
    <row r="69" spans="1:20" x14ac:dyDescent="0.25">
      <c r="A69" s="2"/>
      <c r="B69" s="2"/>
      <c r="C69" s="2"/>
      <c r="D69" s="2"/>
      <c r="E69" s="2"/>
      <c r="F69" s="2"/>
      <c r="G69" s="2"/>
      <c r="H69" s="2"/>
      <c r="I69" s="2"/>
      <c r="J69" s="2"/>
      <c r="K69" s="2"/>
      <c r="L69" s="2"/>
      <c r="M69" s="2"/>
      <c r="N69" s="2"/>
      <c r="O69" s="2"/>
      <c r="P69" s="2"/>
      <c r="Q69" s="2"/>
      <c r="R69" s="2"/>
      <c r="S69" s="2"/>
      <c r="T69" s="2"/>
    </row>
    <row r="70" spans="1:20" x14ac:dyDescent="0.25">
      <c r="A70" s="2"/>
      <c r="B70" s="2"/>
      <c r="C70" s="2"/>
      <c r="D70" s="2"/>
      <c r="E70" s="2"/>
      <c r="F70" s="2"/>
      <c r="G70" s="2"/>
      <c r="H70" s="2"/>
      <c r="I70" s="2"/>
      <c r="J70" s="2"/>
      <c r="K70" s="2"/>
      <c r="L70" s="2"/>
      <c r="M70" s="2"/>
      <c r="N70" s="2"/>
      <c r="O70" s="2"/>
      <c r="P70" s="2"/>
      <c r="Q70" s="2"/>
      <c r="R70" s="2"/>
      <c r="S70" s="2"/>
      <c r="T70" s="2"/>
    </row>
    <row r="71" spans="1:20" x14ac:dyDescent="0.25">
      <c r="A71" s="2"/>
      <c r="B71" s="2"/>
      <c r="C71" s="2"/>
      <c r="D71" s="2"/>
      <c r="E71" s="2"/>
      <c r="F71" s="2"/>
      <c r="G71" s="2"/>
      <c r="H71" s="2"/>
      <c r="I71" s="2"/>
      <c r="J71" s="2"/>
      <c r="K71" s="2"/>
      <c r="L71" s="2"/>
      <c r="M71" s="2"/>
      <c r="N71" s="2"/>
      <c r="O71" s="2"/>
      <c r="P71" s="2"/>
      <c r="Q71" s="2"/>
      <c r="R71" s="2"/>
      <c r="S71" s="2"/>
      <c r="T71" s="2"/>
    </row>
    <row r="72" spans="1:20" x14ac:dyDescent="0.25">
      <c r="A72" s="2"/>
      <c r="B72" s="2"/>
      <c r="C72" s="2"/>
      <c r="D72" s="2"/>
      <c r="E72" s="2"/>
      <c r="F72" s="2"/>
      <c r="G72" s="2"/>
      <c r="H72" s="2"/>
      <c r="I72" s="2"/>
      <c r="J72" s="2"/>
      <c r="K72" s="2"/>
      <c r="L72" s="2"/>
      <c r="M72" s="2"/>
      <c r="N72" s="2"/>
      <c r="O72" s="2"/>
      <c r="P72" s="2"/>
      <c r="Q72" s="2"/>
      <c r="R72" s="2"/>
      <c r="S72" s="2"/>
      <c r="T72" s="2"/>
    </row>
    <row r="73" spans="1:20" x14ac:dyDescent="0.25">
      <c r="A73" s="2"/>
      <c r="B73" s="2"/>
      <c r="C73" s="2"/>
      <c r="D73" s="2"/>
      <c r="E73" s="2"/>
      <c r="F73" s="2"/>
      <c r="G73" s="2"/>
      <c r="H73" s="2"/>
      <c r="I73" s="2"/>
      <c r="J73" s="2"/>
      <c r="K73" s="2"/>
      <c r="L73" s="2"/>
      <c r="M73" s="2"/>
      <c r="N73" s="2"/>
      <c r="O73" s="2"/>
      <c r="P73" s="2"/>
      <c r="Q73" s="2"/>
      <c r="R73" s="2"/>
      <c r="S73" s="2"/>
      <c r="T73" s="2"/>
    </row>
    <row r="74" spans="1:20" x14ac:dyDescent="0.25">
      <c r="A74" s="2"/>
      <c r="B74" s="2"/>
      <c r="C74" s="2"/>
      <c r="D74" s="2"/>
      <c r="E74" s="2"/>
      <c r="F74" s="2"/>
      <c r="G74" s="2"/>
      <c r="H74" s="2"/>
      <c r="I74" s="2"/>
      <c r="J74" s="2"/>
      <c r="K74" s="2"/>
      <c r="L74" s="2"/>
      <c r="M74" s="2"/>
      <c r="N74" s="2"/>
      <c r="O74" s="2"/>
      <c r="P74" s="2"/>
      <c r="Q74" s="2"/>
      <c r="R74" s="2"/>
      <c r="S74" s="2"/>
      <c r="T74" s="2"/>
    </row>
    <row r="75" spans="1:20" x14ac:dyDescent="0.25">
      <c r="A75" s="2"/>
      <c r="B75" s="2"/>
      <c r="C75" s="2"/>
      <c r="D75" s="2"/>
      <c r="E75" s="2"/>
      <c r="F75" s="2"/>
      <c r="G75" s="2"/>
      <c r="H75" s="2"/>
      <c r="I75" s="2"/>
      <c r="J75" s="2"/>
      <c r="K75" s="2"/>
      <c r="L75" s="2"/>
      <c r="M75" s="2"/>
      <c r="N75" s="2"/>
      <c r="O75" s="2"/>
      <c r="P75" s="2"/>
      <c r="Q75" s="2"/>
      <c r="R75" s="2"/>
      <c r="S75" s="2"/>
      <c r="T75" s="2"/>
    </row>
    <row r="76" spans="1:20" x14ac:dyDescent="0.25">
      <c r="A76" s="2"/>
      <c r="B76" s="2"/>
      <c r="C76" s="2"/>
      <c r="D76" s="2"/>
      <c r="E76" s="2"/>
      <c r="F76" s="2"/>
      <c r="G76" s="2"/>
      <c r="H76" s="2"/>
      <c r="I76" s="2"/>
      <c r="J76" s="2"/>
      <c r="K76" s="2"/>
      <c r="L76" s="2"/>
      <c r="M76" s="2"/>
      <c r="N76" s="2"/>
      <c r="O76" s="2"/>
      <c r="P76" s="2"/>
      <c r="Q76" s="2"/>
      <c r="R76" s="2"/>
      <c r="S76" s="2"/>
      <c r="T76" s="2"/>
    </row>
    <row r="77" spans="1:20" x14ac:dyDescent="0.25">
      <c r="A77" s="2"/>
      <c r="B77" s="2"/>
      <c r="C77" s="2"/>
      <c r="D77" s="2"/>
      <c r="E77" s="2"/>
      <c r="F77" s="2"/>
      <c r="G77" s="2"/>
      <c r="H77" s="2"/>
      <c r="I77" s="2"/>
      <c r="J77" s="2"/>
      <c r="K77" s="2"/>
      <c r="L77" s="2"/>
      <c r="M77" s="2"/>
      <c r="N77" s="2"/>
      <c r="O77" s="2"/>
      <c r="P77" s="2"/>
      <c r="Q77" s="2"/>
      <c r="R77" s="2"/>
      <c r="S77" s="2"/>
      <c r="T77" s="2"/>
    </row>
    <row r="78" spans="1:20" x14ac:dyDescent="0.25">
      <c r="A78" s="2"/>
      <c r="B78" s="2"/>
      <c r="C78" s="2"/>
      <c r="D78" s="2"/>
      <c r="E78" s="2"/>
      <c r="F78" s="2"/>
      <c r="G78" s="2"/>
      <c r="H78" s="2"/>
      <c r="I78" s="2"/>
      <c r="J78" s="2"/>
      <c r="K78" s="2"/>
      <c r="L78" s="2"/>
      <c r="M78" s="2"/>
      <c r="N78" s="2"/>
      <c r="O78" s="2"/>
      <c r="P78" s="2"/>
      <c r="Q78" s="2"/>
      <c r="R78" s="2"/>
      <c r="S78" s="2"/>
      <c r="T78" s="2"/>
    </row>
    <row r="79" spans="1:20" x14ac:dyDescent="0.25">
      <c r="A79" s="2"/>
      <c r="B79" s="2"/>
      <c r="C79" s="2"/>
      <c r="D79" s="2"/>
      <c r="E79" s="2"/>
      <c r="F79" s="2"/>
      <c r="G79" s="2"/>
      <c r="H79" s="2"/>
      <c r="I79" s="2"/>
      <c r="J79" s="2"/>
      <c r="K79" s="2"/>
      <c r="L79" s="2"/>
      <c r="M79" s="2"/>
      <c r="N79" s="2"/>
      <c r="O79" s="2"/>
      <c r="P79" s="2"/>
      <c r="Q79" s="2"/>
      <c r="R79" s="2"/>
      <c r="S79" s="2"/>
      <c r="T79" s="2"/>
    </row>
    <row r="80" spans="1:20" x14ac:dyDescent="0.25">
      <c r="A80" s="2"/>
      <c r="B80" s="2"/>
      <c r="C80" s="2"/>
      <c r="D80" s="2"/>
      <c r="E80" s="2"/>
      <c r="F80" s="2"/>
      <c r="G80" s="2"/>
      <c r="H80" s="2"/>
      <c r="I80" s="2"/>
      <c r="J80" s="2"/>
      <c r="K80" s="2"/>
      <c r="L80" s="2"/>
      <c r="M80" s="2"/>
      <c r="N80" s="2"/>
      <c r="O80" s="2"/>
      <c r="P80" s="2"/>
      <c r="Q80" s="2"/>
      <c r="R80" s="2"/>
      <c r="S80" s="2"/>
      <c r="T80" s="2"/>
    </row>
  </sheetData>
  <mergeCells count="6">
    <mergeCell ref="E10:G10"/>
    <mergeCell ref="C10:C12"/>
    <mergeCell ref="D10:D12"/>
    <mergeCell ref="B3:H3"/>
    <mergeCell ref="B4:H4"/>
    <mergeCell ref="F6:G8"/>
  </mergeCells>
  <pageMargins left="0.7" right="0.7" top="0.75" bottom="0.75" header="0.3" footer="0.3"/>
  <pageSetup paperSize="9" orientation="portrait" horizontalDpi="0" verticalDpi="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8FC3-E838-4208-A362-C0F891EA6E20}">
  <sheetPr codeName="Sheet27"/>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7615A-561D-4F2D-BD5F-C1751E657E94}">
  <sheetPr codeName="Sheet28"/>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C28B-85C7-469E-B23A-0F55C2E6EB47}">
  <sheetPr codeName="Sheet29"/>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45616-5E9F-4BE9-8DDB-615AA1C086B9}">
  <sheetPr codeName="Sheet31"/>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ABA21-B544-4D1E-8B2A-D9530282A63A}">
  <sheetPr codeName="Sheet32"/>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0853-2134-4898-A4AB-181091958499}">
  <sheetPr codeName="Sheet33"/>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Z246"/>
  <sheetViews>
    <sheetView workbookViewId="0"/>
  </sheetViews>
  <sheetFormatPr defaultRowHeight="15" x14ac:dyDescent="0.25"/>
  <cols>
    <col min="1" max="1" width="3.140625" customWidth="1"/>
    <col min="2" max="2" width="8.7109375" customWidth="1"/>
    <col min="3" max="3" width="13" customWidth="1"/>
    <col min="4" max="7" width="8.7109375" customWidth="1"/>
    <col min="8" max="8" width="9.42578125" customWidth="1"/>
    <col min="9" max="10" width="8.7109375" customWidth="1"/>
    <col min="11" max="11" width="4.140625" customWidth="1"/>
    <col min="12" max="12" width="3.28515625" customWidth="1"/>
  </cols>
  <sheetData>
    <row r="1" spans="1:26" x14ac:dyDescent="0.25">
      <c r="A1" s="176"/>
      <c r="B1" s="176"/>
      <c r="C1" s="176"/>
      <c r="D1" s="176"/>
      <c r="E1" s="176"/>
      <c r="F1" s="176"/>
      <c r="G1" s="176"/>
      <c r="H1" s="176"/>
      <c r="I1" s="176"/>
      <c r="J1" s="176"/>
      <c r="K1" s="176"/>
      <c r="L1" s="176"/>
      <c r="M1" s="145"/>
      <c r="N1" s="145"/>
      <c r="O1" s="145"/>
      <c r="P1" s="145"/>
      <c r="Q1" s="145"/>
      <c r="R1" s="145"/>
      <c r="S1" s="145"/>
      <c r="T1" s="145"/>
      <c r="U1" s="145"/>
      <c r="V1" s="145"/>
      <c r="W1" s="145"/>
      <c r="X1" s="145"/>
      <c r="Y1" s="145"/>
      <c r="Z1" s="145"/>
    </row>
    <row r="2" spans="1:26" x14ac:dyDescent="0.25">
      <c r="A2" s="176"/>
      <c r="B2" s="2"/>
      <c r="C2" s="2"/>
      <c r="D2" s="2"/>
      <c r="E2" s="2"/>
      <c r="F2" s="2"/>
      <c r="G2" s="2"/>
      <c r="H2" s="2"/>
      <c r="I2" s="2"/>
      <c r="J2" s="2"/>
      <c r="K2" s="2"/>
      <c r="L2" s="176"/>
      <c r="M2" s="145"/>
      <c r="N2" s="145"/>
      <c r="O2" s="145"/>
      <c r="P2" s="145"/>
      <c r="Q2" s="145"/>
      <c r="R2" s="145"/>
      <c r="S2" s="145"/>
      <c r="T2" s="145"/>
      <c r="U2" s="145"/>
      <c r="V2" s="145"/>
      <c r="W2" s="145"/>
      <c r="X2" s="145"/>
      <c r="Y2" s="145"/>
      <c r="Z2" s="145"/>
    </row>
    <row r="3" spans="1:26" ht="18" x14ac:dyDescent="0.25">
      <c r="A3" s="176"/>
      <c r="B3" s="381" t="s">
        <v>494</v>
      </c>
      <c r="C3" s="381"/>
      <c r="D3" s="381"/>
      <c r="E3" s="381"/>
      <c r="F3" s="381"/>
      <c r="G3" s="381"/>
      <c r="H3" s="381"/>
      <c r="I3" s="381"/>
      <c r="J3" s="381"/>
      <c r="K3" s="194"/>
      <c r="L3" s="176"/>
      <c r="M3" s="180">
        <v>1</v>
      </c>
      <c r="N3" s="145"/>
      <c r="O3" s="145"/>
      <c r="P3" s="145"/>
      <c r="Q3" s="145"/>
      <c r="R3" s="145"/>
      <c r="S3" s="145"/>
      <c r="T3" s="145"/>
      <c r="U3" s="145"/>
      <c r="V3" s="145"/>
      <c r="W3" s="145"/>
      <c r="X3" s="145"/>
      <c r="Y3" s="145"/>
      <c r="Z3" s="145"/>
    </row>
    <row r="4" spans="1:26" ht="18" x14ac:dyDescent="0.25">
      <c r="A4" s="176"/>
      <c r="B4" s="381" t="s">
        <v>495</v>
      </c>
      <c r="C4" s="381"/>
      <c r="D4" s="381"/>
      <c r="E4" s="381"/>
      <c r="F4" s="381"/>
      <c r="G4" s="381"/>
      <c r="H4" s="381"/>
      <c r="I4" s="381"/>
      <c r="J4" s="381"/>
      <c r="K4" s="194"/>
      <c r="L4" s="176"/>
      <c r="M4" s="145"/>
      <c r="N4" s="145"/>
      <c r="O4" s="145"/>
      <c r="P4" s="145"/>
      <c r="Q4" s="145"/>
      <c r="R4" s="145"/>
      <c r="S4" s="145"/>
      <c r="T4" s="145"/>
      <c r="U4" s="145"/>
      <c r="V4" s="145"/>
      <c r="W4" s="145"/>
      <c r="X4" s="145"/>
      <c r="Y4" s="145"/>
      <c r="Z4" s="145"/>
    </row>
    <row r="5" spans="1:26" x14ac:dyDescent="0.25">
      <c r="A5" s="176"/>
      <c r="B5" s="2"/>
      <c r="C5" s="2"/>
      <c r="D5" s="2"/>
      <c r="E5" s="2"/>
      <c r="F5" s="2"/>
      <c r="G5" s="2"/>
      <c r="H5" s="2"/>
      <c r="I5" s="2"/>
      <c r="J5" s="2"/>
      <c r="K5" s="2"/>
      <c r="L5" s="176"/>
      <c r="M5" s="145"/>
      <c r="N5" s="145"/>
      <c r="O5" s="145"/>
      <c r="P5" s="145"/>
      <c r="Q5" s="145"/>
      <c r="R5" s="145"/>
      <c r="S5" s="145"/>
      <c r="T5" s="145"/>
      <c r="U5" s="145"/>
      <c r="V5" s="145"/>
      <c r="W5" s="145"/>
      <c r="X5" s="145"/>
      <c r="Y5" s="145"/>
      <c r="Z5" s="145"/>
    </row>
    <row r="6" spans="1:26" x14ac:dyDescent="0.25">
      <c r="A6" s="176"/>
      <c r="B6" s="2"/>
      <c r="C6" s="2"/>
      <c r="D6" s="2"/>
      <c r="E6" s="2"/>
      <c r="F6" s="2"/>
      <c r="G6" s="2"/>
      <c r="H6" s="2"/>
      <c r="I6" s="2"/>
      <c r="J6" s="2"/>
      <c r="K6" s="2"/>
      <c r="L6" s="176"/>
      <c r="M6" s="145"/>
      <c r="N6" s="145"/>
      <c r="O6" s="145"/>
      <c r="P6" s="145"/>
      <c r="Q6" s="145"/>
      <c r="R6" s="145"/>
      <c r="S6" s="145"/>
      <c r="T6" s="145"/>
      <c r="U6" s="145"/>
      <c r="V6" s="145"/>
      <c r="W6" s="145"/>
      <c r="X6" s="145"/>
      <c r="Y6" s="145"/>
      <c r="Z6" s="145"/>
    </row>
    <row r="7" spans="1:26" s="181" customFormat="1" ht="16.5" customHeight="1" x14ac:dyDescent="0.25">
      <c r="A7" s="218"/>
      <c r="B7" s="195"/>
      <c r="C7" s="196" t="s">
        <v>3</v>
      </c>
      <c r="D7" s="196"/>
      <c r="E7" s="196" t="str">
        <f>": "&amp;IDENTITAS!$D$4</f>
        <v xml:space="preserve">: </v>
      </c>
      <c r="F7" s="196"/>
      <c r="G7" s="196"/>
      <c r="H7" s="196"/>
      <c r="I7" s="196" t="s">
        <v>19</v>
      </c>
      <c r="J7" s="196" t="str">
        <f>": "&amp;IDENTITAS!D19</f>
        <v xml:space="preserve">: </v>
      </c>
      <c r="K7" s="196"/>
      <c r="L7" s="218"/>
      <c r="M7" s="219"/>
      <c r="N7" s="219"/>
      <c r="O7" s="219"/>
      <c r="P7" s="219"/>
      <c r="Q7" s="219"/>
      <c r="R7" s="219"/>
      <c r="S7" s="219"/>
      <c r="T7" s="219"/>
      <c r="U7" s="219"/>
      <c r="V7" s="219"/>
      <c r="W7" s="219"/>
      <c r="X7" s="219"/>
      <c r="Y7" s="219"/>
      <c r="Z7" s="219"/>
    </row>
    <row r="8" spans="1:26" s="181" customFormat="1" ht="16.5" customHeight="1" x14ac:dyDescent="0.25">
      <c r="A8" s="218"/>
      <c r="B8" s="195"/>
      <c r="C8" s="196" t="s">
        <v>8</v>
      </c>
      <c r="D8" s="196"/>
      <c r="E8" s="196" t="str">
        <f>": "&amp;IDENTITAS!D7</f>
        <v xml:space="preserve">: </v>
      </c>
      <c r="F8" s="196"/>
      <c r="G8" s="196"/>
      <c r="H8" s="196"/>
      <c r="I8" s="196" t="s">
        <v>20</v>
      </c>
      <c r="J8" s="196" t="str">
        <f>": "&amp;IDENTITAS!D20</f>
        <v xml:space="preserve">: </v>
      </c>
      <c r="K8" s="196"/>
      <c r="L8" s="218"/>
      <c r="M8" s="219"/>
      <c r="N8" s="219"/>
      <c r="O8" s="219"/>
      <c r="P8" s="219"/>
      <c r="Q8" s="219"/>
      <c r="R8" s="219"/>
      <c r="S8" s="219"/>
      <c r="T8" s="219"/>
      <c r="U8" s="219"/>
      <c r="V8" s="219"/>
      <c r="W8" s="219"/>
      <c r="X8" s="219"/>
      <c r="Y8" s="219"/>
      <c r="Z8" s="219"/>
    </row>
    <row r="9" spans="1:26" s="181" customFormat="1" ht="16.5" customHeight="1" x14ac:dyDescent="0.25">
      <c r="A9" s="218"/>
      <c r="B9" s="195"/>
      <c r="C9" s="196" t="s">
        <v>496</v>
      </c>
      <c r="D9" s="196"/>
      <c r="E9" s="214" t="str">
        <f>": "&amp;VLOOKUP(RAPOR!$M$3,'Data Siswa'!$A$6:$D$55,4,FALSE)</f>
        <v xml:space="preserve">: </v>
      </c>
      <c r="F9" s="196"/>
      <c r="G9" s="196"/>
      <c r="H9" s="196"/>
      <c r="I9" s="196" t="s">
        <v>505</v>
      </c>
      <c r="J9" s="196" t="str">
        <f>": "&amp;IDENTITAS!D21</f>
        <v xml:space="preserve">: </v>
      </c>
      <c r="K9" s="196"/>
      <c r="L9" s="218"/>
      <c r="M9" s="219"/>
      <c r="N9" s="219"/>
      <c r="O9" s="219"/>
      <c r="P9" s="219"/>
      <c r="Q9" s="219"/>
      <c r="R9" s="219"/>
      <c r="S9" s="219"/>
      <c r="T9" s="219"/>
      <c r="U9" s="219"/>
      <c r="V9" s="219"/>
      <c r="W9" s="219"/>
      <c r="X9" s="219"/>
      <c r="Y9" s="219"/>
      <c r="Z9" s="219"/>
    </row>
    <row r="10" spans="1:26" s="181" customFormat="1" ht="16.5" customHeight="1" x14ac:dyDescent="0.25">
      <c r="A10" s="218"/>
      <c r="B10" s="195"/>
      <c r="C10" s="196" t="s">
        <v>35</v>
      </c>
      <c r="D10" s="196"/>
      <c r="E10" s="196" t="str">
        <f>": "&amp;VLOOKUP(RAPOR!$M$3,'Data Siswa'!$A$6:$D$55,3,FALSE)</f>
        <v xml:space="preserve">: </v>
      </c>
      <c r="F10" s="196"/>
      <c r="G10" s="196"/>
      <c r="H10" s="196"/>
      <c r="I10" s="196"/>
      <c r="J10" s="196"/>
      <c r="K10" s="196"/>
      <c r="L10" s="218"/>
      <c r="M10" s="219"/>
      <c r="N10" s="219"/>
      <c r="O10" s="219"/>
      <c r="P10" s="219"/>
      <c r="Q10" s="219"/>
      <c r="R10" s="219"/>
      <c r="S10" s="219"/>
      <c r="T10" s="219"/>
      <c r="U10" s="219"/>
      <c r="V10" s="219"/>
      <c r="W10" s="219"/>
      <c r="X10" s="219"/>
      <c r="Y10" s="219"/>
      <c r="Z10" s="219"/>
    </row>
    <row r="11" spans="1:26" x14ac:dyDescent="0.25">
      <c r="A11" s="176"/>
      <c r="B11" s="2"/>
      <c r="C11" s="3"/>
      <c r="D11" s="3"/>
      <c r="E11" s="3"/>
      <c r="F11" s="3"/>
      <c r="G11" s="3"/>
      <c r="H11" s="3"/>
      <c r="I11" s="3"/>
      <c r="J11" s="3"/>
      <c r="K11" s="3"/>
      <c r="L11" s="176"/>
      <c r="M11" s="145"/>
      <c r="N11" s="145"/>
      <c r="O11" s="145"/>
      <c r="P11" s="145"/>
      <c r="Q11" s="145"/>
      <c r="R11" s="145"/>
      <c r="S11" s="145"/>
      <c r="T11" s="145"/>
      <c r="U11" s="145"/>
      <c r="V11" s="145"/>
      <c r="W11" s="145"/>
      <c r="X11" s="145"/>
      <c r="Y11" s="145"/>
      <c r="Z11" s="145"/>
    </row>
    <row r="12" spans="1:26" x14ac:dyDescent="0.25">
      <c r="A12" s="176"/>
      <c r="B12" s="2"/>
      <c r="C12" s="77" t="s">
        <v>497</v>
      </c>
      <c r="D12" s="77" t="str">
        <f>" "&amp;IDENTITAS!$H$5</f>
        <v xml:space="preserve"> </v>
      </c>
      <c r="E12" s="3"/>
      <c r="F12" s="3"/>
      <c r="G12" s="3"/>
      <c r="H12" s="3"/>
      <c r="I12" s="3"/>
      <c r="J12" s="3"/>
      <c r="K12" s="3"/>
      <c r="L12" s="176"/>
      <c r="M12" s="145"/>
      <c r="N12" s="145"/>
      <c r="O12" s="145"/>
      <c r="P12" s="145"/>
      <c r="Q12" s="145"/>
      <c r="R12" s="145"/>
      <c r="S12" s="145"/>
      <c r="T12" s="145"/>
      <c r="U12" s="145"/>
      <c r="V12" s="145"/>
      <c r="W12" s="145"/>
      <c r="X12" s="145"/>
      <c r="Y12" s="145"/>
      <c r="Z12" s="145"/>
    </row>
    <row r="13" spans="1:26" x14ac:dyDescent="0.25">
      <c r="A13" s="176"/>
      <c r="B13" s="2"/>
      <c r="C13" s="197"/>
      <c r="D13" s="197"/>
      <c r="E13" s="197"/>
      <c r="F13" s="197"/>
      <c r="G13" s="197"/>
      <c r="H13" s="197"/>
      <c r="I13" s="197"/>
      <c r="J13" s="197"/>
      <c r="K13" s="2"/>
      <c r="L13" s="176"/>
      <c r="M13" s="145"/>
      <c r="N13" s="145"/>
      <c r="O13" s="145"/>
      <c r="P13" s="145"/>
      <c r="Q13" s="145"/>
      <c r="R13" s="145"/>
      <c r="S13" s="145"/>
      <c r="T13" s="145"/>
      <c r="U13" s="145"/>
      <c r="V13" s="145"/>
      <c r="W13" s="145"/>
      <c r="X13" s="145"/>
      <c r="Y13" s="145"/>
      <c r="Z13" s="145"/>
    </row>
    <row r="14" spans="1:26" ht="15" customHeight="1" x14ac:dyDescent="0.25">
      <c r="A14" s="176"/>
      <c r="B14" s="2"/>
      <c r="C14" s="382">
        <f>'DESKRIPSI PROYEK'!C12</f>
        <v>0</v>
      </c>
      <c r="D14" s="383"/>
      <c r="E14" s="383"/>
      <c r="F14" s="383"/>
      <c r="G14" s="383"/>
      <c r="H14" s="383"/>
      <c r="I14" s="383"/>
      <c r="J14" s="384"/>
      <c r="K14" s="2"/>
      <c r="L14" s="176"/>
      <c r="M14" s="145"/>
      <c r="N14" s="145"/>
      <c r="O14" s="145"/>
      <c r="P14" s="145"/>
      <c r="Q14" s="145"/>
      <c r="R14" s="145"/>
      <c r="S14" s="145"/>
      <c r="T14" s="145"/>
      <c r="U14" s="145"/>
      <c r="V14" s="145"/>
      <c r="W14" s="145"/>
      <c r="X14" s="145"/>
      <c r="Y14" s="145"/>
      <c r="Z14" s="145"/>
    </row>
    <row r="15" spans="1:26" x14ac:dyDescent="0.25">
      <c r="A15" s="176"/>
      <c r="B15" s="2"/>
      <c r="C15" s="385"/>
      <c r="D15" s="386"/>
      <c r="E15" s="386"/>
      <c r="F15" s="386"/>
      <c r="G15" s="386"/>
      <c r="H15" s="386"/>
      <c r="I15" s="386"/>
      <c r="J15" s="387"/>
      <c r="K15" s="2"/>
      <c r="L15" s="176"/>
      <c r="M15" s="145"/>
      <c r="N15" s="145"/>
      <c r="O15" s="145"/>
      <c r="P15" s="145"/>
      <c r="Q15" s="145"/>
      <c r="R15" s="145"/>
      <c r="S15" s="145"/>
      <c r="T15" s="145"/>
      <c r="U15" s="145"/>
      <c r="V15" s="145"/>
      <c r="W15" s="145"/>
      <c r="X15" s="145"/>
      <c r="Y15" s="145"/>
      <c r="Z15" s="145"/>
    </row>
    <row r="16" spans="1:26" x14ac:dyDescent="0.25">
      <c r="A16" s="176"/>
      <c r="B16" s="2"/>
      <c r="C16" s="385"/>
      <c r="D16" s="386"/>
      <c r="E16" s="386"/>
      <c r="F16" s="386"/>
      <c r="G16" s="386"/>
      <c r="H16" s="386"/>
      <c r="I16" s="386"/>
      <c r="J16" s="387"/>
      <c r="K16" s="2"/>
      <c r="L16" s="176"/>
      <c r="M16" s="145"/>
      <c r="N16" s="145"/>
      <c r="O16" s="145"/>
      <c r="P16" s="145"/>
      <c r="Q16" s="145"/>
      <c r="R16" s="145"/>
      <c r="S16" s="145"/>
      <c r="T16" s="145"/>
      <c r="U16" s="145"/>
      <c r="V16" s="145"/>
      <c r="W16" s="145"/>
      <c r="X16" s="145"/>
      <c r="Y16" s="145"/>
      <c r="Z16" s="145"/>
    </row>
    <row r="17" spans="1:26" x14ac:dyDescent="0.25">
      <c r="A17" s="176"/>
      <c r="B17" s="2"/>
      <c r="C17" s="385"/>
      <c r="D17" s="386"/>
      <c r="E17" s="386"/>
      <c r="F17" s="386"/>
      <c r="G17" s="386"/>
      <c r="H17" s="386"/>
      <c r="I17" s="386"/>
      <c r="J17" s="387"/>
      <c r="K17" s="2"/>
      <c r="L17" s="176"/>
      <c r="M17" s="145"/>
      <c r="N17" s="145"/>
      <c r="O17" s="145"/>
      <c r="P17" s="145"/>
      <c r="Q17" s="145"/>
      <c r="R17" s="145"/>
      <c r="S17" s="145"/>
      <c r="T17" s="145"/>
      <c r="U17" s="145"/>
      <c r="V17" s="145"/>
      <c r="W17" s="145"/>
      <c r="X17" s="145"/>
      <c r="Y17" s="145"/>
      <c r="Z17" s="145"/>
    </row>
    <row r="18" spans="1:26" x14ac:dyDescent="0.25">
      <c r="A18" s="176"/>
      <c r="B18" s="2"/>
      <c r="C18" s="385"/>
      <c r="D18" s="386"/>
      <c r="E18" s="386"/>
      <c r="F18" s="386"/>
      <c r="G18" s="386"/>
      <c r="H18" s="386"/>
      <c r="I18" s="386"/>
      <c r="J18" s="387"/>
      <c r="K18" s="2"/>
      <c r="L18" s="176"/>
      <c r="M18" s="145"/>
      <c r="N18" s="145"/>
      <c r="O18" s="145"/>
      <c r="P18" s="145"/>
      <c r="Q18" s="145"/>
      <c r="R18" s="145"/>
      <c r="S18" s="145"/>
      <c r="T18" s="145"/>
      <c r="U18" s="145"/>
      <c r="V18" s="145"/>
      <c r="W18" s="145"/>
      <c r="X18" s="145"/>
      <c r="Y18" s="145"/>
      <c r="Z18" s="145"/>
    </row>
    <row r="19" spans="1:26" x14ac:dyDescent="0.25">
      <c r="A19" s="176"/>
      <c r="B19" s="2"/>
      <c r="C19" s="385"/>
      <c r="D19" s="386"/>
      <c r="E19" s="386"/>
      <c r="F19" s="386"/>
      <c r="G19" s="386"/>
      <c r="H19" s="386"/>
      <c r="I19" s="386"/>
      <c r="J19" s="387"/>
      <c r="K19" s="2"/>
      <c r="L19" s="176"/>
      <c r="M19" s="145"/>
      <c r="N19" s="145"/>
      <c r="O19" s="145"/>
      <c r="P19" s="145"/>
      <c r="Q19" s="145"/>
      <c r="R19" s="145"/>
      <c r="S19" s="145"/>
      <c r="T19" s="145"/>
      <c r="U19" s="145"/>
      <c r="V19" s="145"/>
      <c r="W19" s="145"/>
      <c r="X19" s="145"/>
      <c r="Y19" s="145"/>
      <c r="Z19" s="145"/>
    </row>
    <row r="20" spans="1:26" x14ac:dyDescent="0.25">
      <c r="A20" s="176"/>
      <c r="B20" s="2"/>
      <c r="C20" s="385"/>
      <c r="D20" s="386"/>
      <c r="E20" s="386"/>
      <c r="F20" s="386"/>
      <c r="G20" s="386"/>
      <c r="H20" s="386"/>
      <c r="I20" s="386"/>
      <c r="J20" s="387"/>
      <c r="K20" s="2"/>
      <c r="L20" s="176"/>
      <c r="M20" s="145"/>
      <c r="N20" s="145"/>
      <c r="O20" s="145"/>
      <c r="P20" s="145"/>
      <c r="Q20" s="145"/>
      <c r="R20" s="145"/>
      <c r="S20" s="145"/>
      <c r="T20" s="145"/>
      <c r="U20" s="145"/>
      <c r="V20" s="145"/>
      <c r="W20" s="145"/>
      <c r="X20" s="145"/>
      <c r="Y20" s="145"/>
      <c r="Z20" s="145"/>
    </row>
    <row r="21" spans="1:26" x14ac:dyDescent="0.25">
      <c r="A21" s="176"/>
      <c r="B21" s="2"/>
      <c r="C21" s="388"/>
      <c r="D21" s="389"/>
      <c r="E21" s="389"/>
      <c r="F21" s="389"/>
      <c r="G21" s="389"/>
      <c r="H21" s="389"/>
      <c r="I21" s="389"/>
      <c r="J21" s="390"/>
      <c r="K21" s="2"/>
      <c r="L21" s="176"/>
      <c r="M21" s="145"/>
      <c r="N21" s="145"/>
      <c r="O21" s="145"/>
      <c r="P21" s="145"/>
      <c r="Q21" s="145"/>
      <c r="R21" s="145"/>
      <c r="S21" s="145"/>
      <c r="T21" s="145"/>
      <c r="U21" s="145"/>
      <c r="V21" s="145"/>
      <c r="W21" s="145"/>
      <c r="X21" s="145"/>
      <c r="Y21" s="145"/>
      <c r="Z21" s="145"/>
    </row>
    <row r="22" spans="1:26" x14ac:dyDescent="0.25">
      <c r="A22" s="176"/>
      <c r="B22" s="2"/>
      <c r="C22" s="2"/>
      <c r="D22" s="2"/>
      <c r="E22" s="2"/>
      <c r="F22" s="2"/>
      <c r="G22" s="2"/>
      <c r="H22" s="2"/>
      <c r="I22" s="2"/>
      <c r="J22" s="2"/>
      <c r="K22" s="2"/>
      <c r="L22" s="176"/>
      <c r="M22" s="145"/>
      <c r="N22" s="145"/>
      <c r="O22" s="145"/>
      <c r="P22" s="145"/>
      <c r="Q22" s="145"/>
      <c r="R22" s="145"/>
      <c r="S22" s="145"/>
      <c r="T22" s="145"/>
      <c r="U22" s="145"/>
      <c r="V22" s="145"/>
      <c r="W22" s="145"/>
      <c r="X22" s="145"/>
      <c r="Y22" s="145"/>
      <c r="Z22" s="145"/>
    </row>
    <row r="23" spans="1:26" x14ac:dyDescent="0.25">
      <c r="A23" s="176"/>
      <c r="B23" s="2"/>
      <c r="C23" s="77" t="s">
        <v>498</v>
      </c>
      <c r="D23" s="77" t="str">
        <f>" "&amp;IDENTITAS!$H$7</f>
        <v xml:space="preserve"> </v>
      </c>
      <c r="E23" s="2"/>
      <c r="F23" s="2"/>
      <c r="G23" s="2"/>
      <c r="H23" s="2"/>
      <c r="I23" s="2"/>
      <c r="J23" s="2"/>
      <c r="K23" s="2"/>
      <c r="L23" s="176"/>
      <c r="M23" s="145"/>
      <c r="N23" s="145"/>
      <c r="O23" s="145"/>
      <c r="P23" s="145"/>
      <c r="Q23" s="145"/>
      <c r="R23" s="145"/>
      <c r="S23" s="145"/>
      <c r="T23" s="145"/>
      <c r="U23" s="145"/>
      <c r="V23" s="145"/>
      <c r="W23" s="145"/>
      <c r="X23" s="145"/>
      <c r="Y23" s="145"/>
      <c r="Z23" s="145"/>
    </row>
    <row r="24" spans="1:26" x14ac:dyDescent="0.25">
      <c r="A24" s="176"/>
      <c r="B24" s="2"/>
      <c r="C24" s="2"/>
      <c r="D24" s="2"/>
      <c r="E24" s="2"/>
      <c r="F24" s="2"/>
      <c r="G24" s="2"/>
      <c r="H24" s="2"/>
      <c r="I24" s="2"/>
      <c r="J24" s="2"/>
      <c r="K24" s="2"/>
      <c r="L24" s="176"/>
      <c r="M24" s="145"/>
      <c r="N24" s="145"/>
      <c r="O24" s="145"/>
      <c r="P24" s="145"/>
      <c r="Q24" s="145"/>
      <c r="R24" s="145"/>
      <c r="S24" s="145"/>
      <c r="T24" s="145"/>
      <c r="U24" s="145"/>
      <c r="V24" s="145"/>
      <c r="W24" s="145"/>
      <c r="X24" s="145"/>
      <c r="Y24" s="145"/>
      <c r="Z24" s="145"/>
    </row>
    <row r="25" spans="1:26" x14ac:dyDescent="0.25">
      <c r="A25" s="176"/>
      <c r="B25" s="2"/>
      <c r="C25" s="391">
        <f>'DESKRIPSI PROYEK'!C22</f>
        <v>0</v>
      </c>
      <c r="D25" s="392"/>
      <c r="E25" s="392"/>
      <c r="F25" s="392"/>
      <c r="G25" s="392"/>
      <c r="H25" s="392"/>
      <c r="I25" s="392"/>
      <c r="J25" s="393"/>
      <c r="K25" s="2"/>
      <c r="L25" s="176"/>
      <c r="M25" s="145"/>
      <c r="N25" s="145"/>
      <c r="O25" s="145"/>
      <c r="P25" s="145"/>
      <c r="Q25" s="145"/>
      <c r="R25" s="145"/>
      <c r="S25" s="145"/>
      <c r="T25" s="145"/>
      <c r="U25" s="145"/>
      <c r="V25" s="145"/>
      <c r="W25" s="145"/>
      <c r="X25" s="145"/>
      <c r="Y25" s="145"/>
      <c r="Z25" s="145"/>
    </row>
    <row r="26" spans="1:26" x14ac:dyDescent="0.25">
      <c r="A26" s="176"/>
      <c r="B26" s="2"/>
      <c r="C26" s="394"/>
      <c r="D26" s="395"/>
      <c r="E26" s="395"/>
      <c r="F26" s="395"/>
      <c r="G26" s="395"/>
      <c r="H26" s="395"/>
      <c r="I26" s="395"/>
      <c r="J26" s="396"/>
      <c r="K26" s="2"/>
      <c r="L26" s="176"/>
      <c r="M26" s="145"/>
      <c r="N26" s="145"/>
      <c r="O26" s="145"/>
      <c r="P26" s="145"/>
      <c r="Q26" s="145"/>
      <c r="R26" s="145"/>
      <c r="S26" s="145"/>
      <c r="T26" s="145"/>
      <c r="U26" s="145"/>
      <c r="V26" s="145"/>
      <c r="W26" s="145"/>
      <c r="X26" s="145"/>
      <c r="Y26" s="145"/>
      <c r="Z26" s="145"/>
    </row>
    <row r="27" spans="1:26" x14ac:dyDescent="0.25">
      <c r="A27" s="176"/>
      <c r="B27" s="2"/>
      <c r="C27" s="394"/>
      <c r="D27" s="395"/>
      <c r="E27" s="395"/>
      <c r="F27" s="395"/>
      <c r="G27" s="395"/>
      <c r="H27" s="395"/>
      <c r="I27" s="395"/>
      <c r="J27" s="396"/>
      <c r="K27" s="2"/>
      <c r="L27" s="176"/>
      <c r="M27" s="145"/>
      <c r="N27" s="145"/>
      <c r="O27" s="145"/>
      <c r="P27" s="145"/>
      <c r="Q27" s="145"/>
      <c r="R27" s="145"/>
      <c r="S27" s="145"/>
      <c r="T27" s="145"/>
      <c r="U27" s="145"/>
      <c r="V27" s="145"/>
      <c r="W27" s="145"/>
      <c r="X27" s="145"/>
      <c r="Y27" s="145"/>
      <c r="Z27" s="145"/>
    </row>
    <row r="28" spans="1:26" x14ac:dyDescent="0.25">
      <c r="A28" s="176"/>
      <c r="B28" s="2"/>
      <c r="C28" s="394"/>
      <c r="D28" s="395"/>
      <c r="E28" s="395"/>
      <c r="F28" s="395"/>
      <c r="G28" s="395"/>
      <c r="H28" s="395"/>
      <c r="I28" s="395"/>
      <c r="J28" s="396"/>
      <c r="K28" s="2"/>
      <c r="L28" s="176"/>
      <c r="M28" s="145"/>
      <c r="N28" s="145"/>
      <c r="O28" s="145"/>
      <c r="P28" s="145"/>
      <c r="Q28" s="145"/>
      <c r="R28" s="145"/>
      <c r="S28" s="145"/>
      <c r="T28" s="145"/>
      <c r="U28" s="145"/>
      <c r="V28" s="145"/>
      <c r="W28" s="145"/>
      <c r="X28" s="145"/>
      <c r="Y28" s="145"/>
      <c r="Z28" s="145"/>
    </row>
    <row r="29" spans="1:26" x14ac:dyDescent="0.25">
      <c r="A29" s="176"/>
      <c r="B29" s="2"/>
      <c r="C29" s="394"/>
      <c r="D29" s="395"/>
      <c r="E29" s="395"/>
      <c r="F29" s="395"/>
      <c r="G29" s="395"/>
      <c r="H29" s="395"/>
      <c r="I29" s="395"/>
      <c r="J29" s="396"/>
      <c r="K29" s="2"/>
      <c r="L29" s="176"/>
      <c r="M29" s="145"/>
      <c r="N29" s="145"/>
      <c r="O29" s="145"/>
      <c r="P29" s="145"/>
      <c r="Q29" s="145"/>
      <c r="R29" s="145"/>
      <c r="S29" s="145"/>
      <c r="T29" s="145"/>
      <c r="U29" s="145"/>
      <c r="V29" s="145"/>
      <c r="W29" s="145"/>
      <c r="X29" s="145"/>
      <c r="Y29" s="145"/>
      <c r="Z29" s="145"/>
    </row>
    <row r="30" spans="1:26" x14ac:dyDescent="0.25">
      <c r="A30" s="176"/>
      <c r="B30" s="2"/>
      <c r="C30" s="394"/>
      <c r="D30" s="395"/>
      <c r="E30" s="395"/>
      <c r="F30" s="395"/>
      <c r="G30" s="395"/>
      <c r="H30" s="395"/>
      <c r="I30" s="395"/>
      <c r="J30" s="396"/>
      <c r="K30" s="2"/>
      <c r="L30" s="176"/>
      <c r="M30" s="145"/>
      <c r="N30" s="145"/>
      <c r="O30" s="145"/>
      <c r="P30" s="145"/>
      <c r="Q30" s="145"/>
      <c r="R30" s="145"/>
      <c r="S30" s="145"/>
      <c r="T30" s="145"/>
      <c r="U30" s="145"/>
      <c r="V30" s="145"/>
      <c r="W30" s="145"/>
      <c r="X30" s="145"/>
      <c r="Y30" s="145"/>
      <c r="Z30" s="145"/>
    </row>
    <row r="31" spans="1:26" x14ac:dyDescent="0.25">
      <c r="A31" s="176"/>
      <c r="B31" s="2"/>
      <c r="C31" s="394"/>
      <c r="D31" s="395"/>
      <c r="E31" s="395"/>
      <c r="F31" s="395"/>
      <c r="G31" s="395"/>
      <c r="H31" s="395"/>
      <c r="I31" s="395"/>
      <c r="J31" s="396"/>
      <c r="K31" s="2"/>
      <c r="L31" s="176"/>
      <c r="M31" s="145"/>
      <c r="N31" s="145"/>
      <c r="O31" s="145"/>
      <c r="P31" s="145"/>
      <c r="Q31" s="145"/>
      <c r="R31" s="145"/>
      <c r="S31" s="145"/>
      <c r="T31" s="145"/>
      <c r="U31" s="145"/>
      <c r="V31" s="145"/>
      <c r="W31" s="145"/>
      <c r="X31" s="145"/>
      <c r="Y31" s="145"/>
      <c r="Z31" s="145"/>
    </row>
    <row r="32" spans="1:26" x14ac:dyDescent="0.25">
      <c r="A32" s="176"/>
      <c r="B32" s="2"/>
      <c r="C32" s="397"/>
      <c r="D32" s="398"/>
      <c r="E32" s="398"/>
      <c r="F32" s="398"/>
      <c r="G32" s="398"/>
      <c r="H32" s="398"/>
      <c r="I32" s="398"/>
      <c r="J32" s="399"/>
      <c r="K32" s="2"/>
      <c r="L32" s="176"/>
      <c r="M32" s="145"/>
      <c r="N32" s="145"/>
      <c r="O32" s="145"/>
      <c r="P32" s="145"/>
      <c r="Q32" s="145"/>
      <c r="R32" s="145"/>
      <c r="S32" s="145"/>
      <c r="T32" s="145"/>
      <c r="U32" s="145"/>
      <c r="V32" s="145"/>
      <c r="W32" s="145"/>
      <c r="X32" s="145"/>
      <c r="Y32" s="145"/>
      <c r="Z32" s="145"/>
    </row>
    <row r="33" spans="1:26" x14ac:dyDescent="0.25">
      <c r="A33" s="176"/>
      <c r="B33" s="2"/>
      <c r="C33" s="2"/>
      <c r="D33" s="2"/>
      <c r="E33" s="2"/>
      <c r="F33" s="2"/>
      <c r="G33" s="2"/>
      <c r="H33" s="2"/>
      <c r="I33" s="2"/>
      <c r="J33" s="2"/>
      <c r="K33" s="2"/>
      <c r="L33" s="176"/>
      <c r="M33" s="145"/>
      <c r="N33" s="145"/>
      <c r="O33" s="145"/>
      <c r="P33" s="145"/>
      <c r="Q33" s="145"/>
      <c r="R33" s="145"/>
      <c r="S33" s="145"/>
      <c r="T33" s="145"/>
      <c r="U33" s="145"/>
      <c r="V33" s="145"/>
      <c r="W33" s="145"/>
      <c r="X33" s="145"/>
      <c r="Y33" s="145"/>
      <c r="Z33" s="145"/>
    </row>
    <row r="34" spans="1:26" x14ac:dyDescent="0.25">
      <c r="A34" s="176"/>
      <c r="B34" s="2"/>
      <c r="C34" s="77" t="s">
        <v>499</v>
      </c>
      <c r="D34" s="77" t="str">
        <f>" "&amp;IDENTITAS!$H$9</f>
        <v xml:space="preserve"> </v>
      </c>
      <c r="E34" s="2"/>
      <c r="F34" s="2"/>
      <c r="G34" s="2"/>
      <c r="H34" s="2"/>
      <c r="I34" s="2"/>
      <c r="J34" s="2"/>
      <c r="K34" s="2"/>
      <c r="L34" s="176"/>
      <c r="M34" s="145"/>
      <c r="N34" s="145"/>
      <c r="O34" s="145"/>
      <c r="P34" s="145"/>
      <c r="Q34" s="145"/>
      <c r="R34" s="145"/>
      <c r="S34" s="145"/>
      <c r="T34" s="145"/>
      <c r="U34" s="145"/>
      <c r="V34" s="145"/>
      <c r="W34" s="145"/>
      <c r="X34" s="145"/>
      <c r="Y34" s="145"/>
      <c r="Z34" s="145"/>
    </row>
    <row r="35" spans="1:26" x14ac:dyDescent="0.25">
      <c r="A35" s="176"/>
      <c r="B35" s="2"/>
      <c r="C35" s="2"/>
      <c r="D35" s="2"/>
      <c r="E35" s="2"/>
      <c r="F35" s="2"/>
      <c r="G35" s="2"/>
      <c r="H35" s="2"/>
      <c r="I35" s="2"/>
      <c r="J35" s="2"/>
      <c r="K35" s="2"/>
      <c r="L35" s="176"/>
      <c r="M35" s="145"/>
      <c r="N35" s="145"/>
      <c r="O35" s="145"/>
      <c r="P35" s="145"/>
      <c r="Q35" s="145"/>
      <c r="R35" s="145"/>
      <c r="S35" s="145"/>
      <c r="T35" s="145"/>
      <c r="U35" s="145"/>
      <c r="V35" s="145"/>
      <c r="W35" s="145"/>
      <c r="X35" s="145"/>
      <c r="Y35" s="145"/>
      <c r="Z35" s="145"/>
    </row>
    <row r="36" spans="1:26" x14ac:dyDescent="0.25">
      <c r="A36" s="176"/>
      <c r="B36" s="2"/>
      <c r="C36" s="391">
        <f>'DESKRIPSI PROYEK'!C32</f>
        <v>0</v>
      </c>
      <c r="D36" s="392"/>
      <c r="E36" s="392"/>
      <c r="F36" s="392"/>
      <c r="G36" s="392"/>
      <c r="H36" s="392"/>
      <c r="I36" s="392"/>
      <c r="J36" s="393"/>
      <c r="K36" s="2"/>
      <c r="L36" s="176"/>
      <c r="M36" s="145"/>
      <c r="N36" s="145"/>
      <c r="O36" s="145"/>
      <c r="P36" s="145"/>
      <c r="Q36" s="145"/>
      <c r="R36" s="145"/>
      <c r="S36" s="145"/>
      <c r="T36" s="145"/>
      <c r="U36" s="145"/>
      <c r="V36" s="145"/>
      <c r="W36" s="145"/>
      <c r="X36" s="145"/>
      <c r="Y36" s="145"/>
      <c r="Z36" s="145"/>
    </row>
    <row r="37" spans="1:26" x14ac:dyDescent="0.25">
      <c r="A37" s="176"/>
      <c r="B37" s="2"/>
      <c r="C37" s="394"/>
      <c r="D37" s="395"/>
      <c r="E37" s="395"/>
      <c r="F37" s="395"/>
      <c r="G37" s="395"/>
      <c r="H37" s="395"/>
      <c r="I37" s="395"/>
      <c r="J37" s="396"/>
      <c r="K37" s="2"/>
      <c r="L37" s="176"/>
      <c r="M37" s="145"/>
      <c r="N37" s="145"/>
      <c r="O37" s="145"/>
      <c r="P37" s="145"/>
      <c r="Q37" s="145"/>
      <c r="R37" s="145"/>
      <c r="S37" s="145"/>
      <c r="T37" s="145"/>
      <c r="U37" s="145"/>
      <c r="V37" s="145"/>
      <c r="W37" s="145"/>
      <c r="X37" s="145"/>
      <c r="Y37" s="145"/>
      <c r="Z37" s="145"/>
    </row>
    <row r="38" spans="1:26" x14ac:dyDescent="0.25">
      <c r="A38" s="176"/>
      <c r="B38" s="2"/>
      <c r="C38" s="394"/>
      <c r="D38" s="395"/>
      <c r="E38" s="395"/>
      <c r="F38" s="395"/>
      <c r="G38" s="395"/>
      <c r="H38" s="395"/>
      <c r="I38" s="395"/>
      <c r="J38" s="396"/>
      <c r="K38" s="2"/>
      <c r="L38" s="176"/>
      <c r="M38" s="145"/>
      <c r="N38" s="145"/>
      <c r="O38" s="145"/>
      <c r="P38" s="145"/>
      <c r="Q38" s="145"/>
      <c r="R38" s="145"/>
      <c r="S38" s="145"/>
      <c r="T38" s="145"/>
      <c r="U38" s="145"/>
      <c r="V38" s="145"/>
      <c r="W38" s="145"/>
      <c r="X38" s="145"/>
      <c r="Y38" s="145"/>
      <c r="Z38" s="145"/>
    </row>
    <row r="39" spans="1:26" x14ac:dyDescent="0.25">
      <c r="A39" s="176"/>
      <c r="B39" s="2"/>
      <c r="C39" s="394"/>
      <c r="D39" s="395"/>
      <c r="E39" s="395"/>
      <c r="F39" s="395"/>
      <c r="G39" s="395"/>
      <c r="H39" s="395"/>
      <c r="I39" s="395"/>
      <c r="J39" s="396"/>
      <c r="K39" s="2"/>
      <c r="L39" s="176"/>
      <c r="M39" s="145"/>
      <c r="N39" s="145"/>
      <c r="O39" s="145"/>
      <c r="P39" s="145"/>
      <c r="Q39" s="145"/>
      <c r="R39" s="145"/>
      <c r="S39" s="145"/>
      <c r="T39" s="145"/>
      <c r="U39" s="145"/>
      <c r="V39" s="145"/>
      <c r="W39" s="145"/>
      <c r="X39" s="145"/>
      <c r="Y39" s="145"/>
      <c r="Z39" s="145"/>
    </row>
    <row r="40" spans="1:26" x14ac:dyDescent="0.25">
      <c r="A40" s="176"/>
      <c r="B40" s="2"/>
      <c r="C40" s="394"/>
      <c r="D40" s="395"/>
      <c r="E40" s="395"/>
      <c r="F40" s="395"/>
      <c r="G40" s="395"/>
      <c r="H40" s="395"/>
      <c r="I40" s="395"/>
      <c r="J40" s="396"/>
      <c r="K40" s="2"/>
      <c r="L40" s="176"/>
      <c r="M40" s="145"/>
      <c r="N40" s="145"/>
      <c r="O40" s="145"/>
      <c r="P40" s="145"/>
      <c r="Q40" s="145"/>
      <c r="R40" s="145"/>
      <c r="S40" s="145"/>
      <c r="T40" s="145"/>
      <c r="U40" s="145"/>
      <c r="V40" s="145"/>
      <c r="W40" s="145"/>
      <c r="X40" s="145"/>
      <c r="Y40" s="145"/>
      <c r="Z40" s="145"/>
    </row>
    <row r="41" spans="1:26" x14ac:dyDescent="0.25">
      <c r="A41" s="176"/>
      <c r="B41" s="2"/>
      <c r="C41" s="394"/>
      <c r="D41" s="395"/>
      <c r="E41" s="395"/>
      <c r="F41" s="395"/>
      <c r="G41" s="395"/>
      <c r="H41" s="395"/>
      <c r="I41" s="395"/>
      <c r="J41" s="396"/>
      <c r="K41" s="2"/>
      <c r="L41" s="176"/>
      <c r="M41" s="145"/>
      <c r="N41" s="145"/>
      <c r="O41" s="145"/>
      <c r="P41" s="145"/>
      <c r="Q41" s="145"/>
      <c r="R41" s="145"/>
      <c r="S41" s="145"/>
      <c r="T41" s="145"/>
      <c r="U41" s="145"/>
      <c r="V41" s="145"/>
      <c r="W41" s="145"/>
      <c r="X41" s="145"/>
      <c r="Y41" s="145"/>
      <c r="Z41" s="145"/>
    </row>
    <row r="42" spans="1:26" x14ac:dyDescent="0.25">
      <c r="A42" s="176"/>
      <c r="B42" s="2"/>
      <c r="C42" s="394"/>
      <c r="D42" s="395"/>
      <c r="E42" s="395"/>
      <c r="F42" s="395"/>
      <c r="G42" s="395"/>
      <c r="H42" s="395"/>
      <c r="I42" s="395"/>
      <c r="J42" s="396"/>
      <c r="K42" s="2"/>
      <c r="L42" s="176"/>
      <c r="M42" s="145"/>
      <c r="N42" s="145"/>
      <c r="O42" s="145"/>
      <c r="P42" s="145"/>
      <c r="Q42" s="145"/>
      <c r="R42" s="145"/>
      <c r="S42" s="145"/>
      <c r="T42" s="145"/>
      <c r="U42" s="145"/>
      <c r="V42" s="145"/>
      <c r="W42" s="145"/>
      <c r="X42" s="145"/>
      <c r="Y42" s="145"/>
      <c r="Z42" s="145"/>
    </row>
    <row r="43" spans="1:26" x14ac:dyDescent="0.25">
      <c r="A43" s="176"/>
      <c r="B43" s="2"/>
      <c r="C43" s="397"/>
      <c r="D43" s="398"/>
      <c r="E43" s="398"/>
      <c r="F43" s="398"/>
      <c r="G43" s="398"/>
      <c r="H43" s="398"/>
      <c r="I43" s="398"/>
      <c r="J43" s="399"/>
      <c r="K43" s="2"/>
      <c r="L43" s="176"/>
      <c r="M43" s="145"/>
      <c r="N43" s="145"/>
      <c r="O43" s="145"/>
      <c r="P43" s="145"/>
      <c r="Q43" s="145"/>
      <c r="R43" s="145"/>
      <c r="S43" s="145"/>
      <c r="T43" s="145"/>
      <c r="U43" s="145"/>
      <c r="V43" s="145"/>
      <c r="W43" s="145"/>
      <c r="X43" s="145"/>
      <c r="Y43" s="145"/>
      <c r="Z43" s="145"/>
    </row>
    <row r="44" spans="1:26" x14ac:dyDescent="0.25">
      <c r="A44" s="176"/>
      <c r="B44" s="2"/>
      <c r="C44" s="2"/>
      <c r="D44" s="2"/>
      <c r="E44" s="2"/>
      <c r="F44" s="2"/>
      <c r="G44" s="2"/>
      <c r="H44" s="2"/>
      <c r="I44" s="2"/>
      <c r="J44" s="2"/>
      <c r="K44" s="2"/>
      <c r="L44" s="176"/>
      <c r="M44" s="145"/>
      <c r="N44" s="145"/>
      <c r="O44" s="145"/>
      <c r="P44" s="145"/>
      <c r="Q44" s="145"/>
      <c r="R44" s="145"/>
      <c r="S44" s="145"/>
      <c r="T44" s="145"/>
      <c r="U44" s="145"/>
      <c r="V44" s="145"/>
      <c r="W44" s="145"/>
      <c r="X44" s="145"/>
      <c r="Y44" s="145"/>
      <c r="Z44" s="145"/>
    </row>
    <row r="45" spans="1:26" x14ac:dyDescent="0.25">
      <c r="A45" s="176"/>
      <c r="B45" s="2"/>
      <c r="C45" s="2"/>
      <c r="D45" s="2"/>
      <c r="E45" s="2"/>
      <c r="F45" s="2"/>
      <c r="G45" s="2"/>
      <c r="H45" s="2"/>
      <c r="I45" s="2"/>
      <c r="J45" s="2"/>
      <c r="K45" s="2"/>
      <c r="L45" s="176"/>
      <c r="M45" s="145"/>
      <c r="N45" s="145"/>
      <c r="O45" s="145"/>
      <c r="P45" s="145"/>
      <c r="Q45" s="145"/>
      <c r="R45" s="145"/>
      <c r="S45" s="145"/>
      <c r="T45" s="145"/>
      <c r="U45" s="145"/>
      <c r="V45" s="145"/>
      <c r="W45" s="145"/>
      <c r="X45" s="145"/>
      <c r="Y45" s="145"/>
      <c r="Z45" s="145"/>
    </row>
    <row r="46" spans="1:26" x14ac:dyDescent="0.25">
      <c r="A46" s="176"/>
      <c r="B46" s="2"/>
      <c r="C46" s="2"/>
      <c r="D46" s="2"/>
      <c r="E46" s="2"/>
      <c r="F46" s="2"/>
      <c r="G46" s="2"/>
      <c r="H46" s="2"/>
      <c r="I46" s="2"/>
      <c r="J46" s="2"/>
      <c r="K46" s="2"/>
      <c r="L46" s="176"/>
      <c r="M46" s="145"/>
      <c r="N46" s="145"/>
      <c r="O46" s="145"/>
      <c r="P46" s="145"/>
      <c r="Q46" s="145"/>
      <c r="R46" s="145"/>
      <c r="S46" s="145"/>
      <c r="T46" s="145"/>
      <c r="U46" s="145"/>
      <c r="V46" s="145"/>
      <c r="W46" s="145"/>
      <c r="X46" s="145"/>
      <c r="Y46" s="145"/>
      <c r="Z46" s="145"/>
    </row>
    <row r="47" spans="1:26" x14ac:dyDescent="0.25">
      <c r="A47" s="176"/>
      <c r="B47" s="2"/>
      <c r="C47" s="2"/>
      <c r="D47" s="2"/>
      <c r="E47" s="2"/>
      <c r="F47" s="2"/>
      <c r="G47" s="2"/>
      <c r="H47" s="2"/>
      <c r="I47" s="2"/>
      <c r="J47" s="2"/>
      <c r="K47" s="2"/>
      <c r="L47" s="176"/>
      <c r="M47" s="145"/>
      <c r="N47" s="145"/>
      <c r="O47" s="145"/>
      <c r="P47" s="145"/>
      <c r="Q47" s="145"/>
      <c r="R47" s="145"/>
      <c r="S47" s="145"/>
      <c r="T47" s="145"/>
      <c r="U47" s="145"/>
      <c r="V47" s="145"/>
      <c r="W47" s="145"/>
      <c r="X47" s="145"/>
      <c r="Y47" s="145"/>
      <c r="Z47" s="145"/>
    </row>
    <row r="48" spans="1:26" x14ac:dyDescent="0.25">
      <c r="A48" s="176"/>
      <c r="B48" s="2"/>
      <c r="C48" s="2"/>
      <c r="D48" s="2"/>
      <c r="E48" s="2"/>
      <c r="F48" s="2"/>
      <c r="G48" s="2"/>
      <c r="H48" s="2"/>
      <c r="I48" s="2"/>
      <c r="J48" s="2"/>
      <c r="K48" s="2"/>
      <c r="L48" s="176"/>
      <c r="M48" s="145"/>
      <c r="N48" s="145"/>
      <c r="O48" s="145"/>
      <c r="P48" s="145"/>
      <c r="Q48" s="145"/>
      <c r="R48" s="145"/>
      <c r="S48" s="145"/>
      <c r="T48" s="145"/>
      <c r="U48" s="145"/>
      <c r="V48" s="145"/>
      <c r="W48" s="145"/>
      <c r="X48" s="145"/>
      <c r="Y48" s="145"/>
      <c r="Z48" s="145"/>
    </row>
    <row r="49" spans="1:26" x14ac:dyDescent="0.25">
      <c r="A49" s="176"/>
      <c r="B49" s="2"/>
      <c r="C49" s="2"/>
      <c r="D49" s="2"/>
      <c r="E49" s="2"/>
      <c r="F49" s="2"/>
      <c r="G49" s="2"/>
      <c r="H49" s="2"/>
      <c r="I49" s="2"/>
      <c r="J49" s="2"/>
      <c r="K49" s="2"/>
      <c r="L49" s="176"/>
      <c r="M49" s="145"/>
      <c r="N49" s="145"/>
      <c r="O49" s="145"/>
      <c r="P49" s="145"/>
      <c r="Q49" s="145"/>
      <c r="R49" s="145"/>
      <c r="S49" s="145"/>
      <c r="T49" s="145"/>
      <c r="U49" s="145"/>
      <c r="V49" s="145"/>
      <c r="W49" s="145"/>
      <c r="X49" s="145"/>
      <c r="Y49" s="145"/>
      <c r="Z49" s="145"/>
    </row>
    <row r="50" spans="1:26" x14ac:dyDescent="0.25">
      <c r="A50" s="176"/>
      <c r="B50" s="2"/>
      <c r="C50" s="2"/>
      <c r="D50" s="2"/>
      <c r="E50" s="2"/>
      <c r="F50" s="2"/>
      <c r="G50" s="2"/>
      <c r="H50" s="2"/>
      <c r="I50" s="2"/>
      <c r="J50" s="2"/>
      <c r="K50" s="2"/>
      <c r="L50" s="176"/>
      <c r="M50" s="145"/>
      <c r="N50" s="145"/>
      <c r="O50" s="145"/>
      <c r="P50" s="145"/>
      <c r="Q50" s="145"/>
      <c r="R50" s="145"/>
      <c r="S50" s="145"/>
      <c r="T50" s="145"/>
      <c r="U50" s="145"/>
      <c r="V50" s="145"/>
      <c r="W50" s="145"/>
      <c r="X50" s="145"/>
      <c r="Y50" s="145"/>
      <c r="Z50" s="145"/>
    </row>
    <row r="51" spans="1:26" x14ac:dyDescent="0.25">
      <c r="A51" s="176"/>
      <c r="B51" s="2"/>
      <c r="C51" s="2"/>
      <c r="D51" s="2"/>
      <c r="E51" s="2"/>
      <c r="F51" s="2"/>
      <c r="G51" s="2"/>
      <c r="H51" s="2"/>
      <c r="I51" s="2"/>
      <c r="J51" s="2"/>
      <c r="K51" s="2"/>
      <c r="L51" s="176"/>
      <c r="M51" s="145"/>
      <c r="N51" s="145"/>
      <c r="O51" s="145"/>
      <c r="P51" s="145"/>
      <c r="Q51" s="145"/>
      <c r="R51" s="145"/>
      <c r="S51" s="145"/>
      <c r="T51" s="145"/>
      <c r="U51" s="145"/>
      <c r="V51" s="145"/>
      <c r="W51" s="145"/>
      <c r="X51" s="145"/>
      <c r="Y51" s="145"/>
      <c r="Z51" s="145"/>
    </row>
    <row r="52" spans="1:26" x14ac:dyDescent="0.25">
      <c r="A52" s="176"/>
      <c r="B52" s="2"/>
      <c r="C52" s="2"/>
      <c r="D52" s="2"/>
      <c r="E52" s="2"/>
      <c r="F52" s="2"/>
      <c r="G52" s="2"/>
      <c r="H52" s="2"/>
      <c r="I52" s="2"/>
      <c r="J52" s="2"/>
      <c r="K52" s="2"/>
      <c r="L52" s="176"/>
      <c r="M52" s="145"/>
      <c r="N52" s="145"/>
      <c r="O52" s="145"/>
      <c r="P52" s="145"/>
      <c r="Q52" s="145"/>
      <c r="R52" s="145"/>
      <c r="S52" s="145"/>
      <c r="T52" s="145"/>
      <c r="U52" s="145"/>
      <c r="V52" s="145"/>
      <c r="W52" s="145"/>
      <c r="X52" s="145"/>
      <c r="Y52" s="145"/>
      <c r="Z52" s="145"/>
    </row>
    <row r="53" spans="1:26" x14ac:dyDescent="0.25">
      <c r="A53" s="176"/>
      <c r="B53" s="367">
        <f>IDENTITAS!H5</f>
        <v>0</v>
      </c>
      <c r="C53" s="367"/>
      <c r="D53" s="367"/>
      <c r="E53" s="367"/>
      <c r="F53" s="367"/>
      <c r="G53" s="365" t="s">
        <v>460</v>
      </c>
      <c r="H53" s="365" t="s">
        <v>461</v>
      </c>
      <c r="I53" s="365" t="s">
        <v>462</v>
      </c>
      <c r="J53" s="365" t="s">
        <v>463</v>
      </c>
      <c r="K53" s="2"/>
      <c r="L53" s="176"/>
      <c r="M53" s="180">
        <f>M3</f>
        <v>1</v>
      </c>
      <c r="N53" s="145"/>
      <c r="O53" s="145"/>
      <c r="P53" s="145"/>
      <c r="Q53" s="145"/>
      <c r="R53" s="145"/>
      <c r="S53" s="145"/>
      <c r="T53" s="145"/>
      <c r="U53" s="145"/>
      <c r="V53" s="145"/>
      <c r="W53" s="145"/>
      <c r="X53" s="145"/>
      <c r="Y53" s="145"/>
      <c r="Z53" s="145"/>
    </row>
    <row r="54" spans="1:26" x14ac:dyDescent="0.25">
      <c r="A54" s="176"/>
      <c r="B54" s="367"/>
      <c r="C54" s="367"/>
      <c r="D54" s="367"/>
      <c r="E54" s="367"/>
      <c r="F54" s="367"/>
      <c r="G54" s="365"/>
      <c r="H54" s="365"/>
      <c r="I54" s="365"/>
      <c r="J54" s="365"/>
      <c r="K54" s="2"/>
      <c r="L54" s="176"/>
      <c r="M54" s="145"/>
      <c r="N54" s="145"/>
      <c r="O54" s="145"/>
      <c r="P54" s="145"/>
      <c r="Q54" s="145"/>
      <c r="R54" s="145"/>
      <c r="S54" s="145"/>
      <c r="T54" s="145"/>
      <c r="U54" s="145"/>
      <c r="V54" s="145"/>
      <c r="W54" s="145"/>
      <c r="X54" s="145"/>
      <c r="Y54" s="145"/>
      <c r="Z54" s="145"/>
    </row>
    <row r="55" spans="1:26" ht="15" customHeight="1" x14ac:dyDescent="0.25">
      <c r="A55" s="176"/>
      <c r="B55" s="360">
        <f>PROYEK1!C13</f>
        <v>0</v>
      </c>
      <c r="C55" s="361"/>
      <c r="D55" s="361"/>
      <c r="E55" s="361"/>
      <c r="F55" s="361"/>
      <c r="G55" s="361"/>
      <c r="H55" s="361"/>
      <c r="I55" s="361"/>
      <c r="J55" s="362"/>
      <c r="K55" s="2"/>
      <c r="L55" s="176"/>
      <c r="M55" s="145"/>
      <c r="N55" s="145"/>
      <c r="O55" s="145"/>
      <c r="P55" s="145"/>
      <c r="Q55" s="145"/>
      <c r="R55" s="145"/>
      <c r="S55" s="145"/>
      <c r="T55" s="145"/>
      <c r="U55" s="145"/>
      <c r="V55" s="145"/>
      <c r="W55" s="145"/>
      <c r="X55" s="145"/>
      <c r="Y55" s="145"/>
      <c r="Z55" s="145"/>
    </row>
    <row r="56" spans="1:26" ht="15" customHeight="1" x14ac:dyDescent="0.25">
      <c r="A56" s="176"/>
      <c r="B56" s="363" t="e">
        <f>PROYEK1!K13&amp;"- "&amp;PROYEK1!P13</f>
        <v>#N/A</v>
      </c>
      <c r="C56" s="363"/>
      <c r="D56" s="363"/>
      <c r="E56" s="363"/>
      <c r="F56" s="363"/>
      <c r="G56" s="364">
        <f>VLOOKUP($M$3,PENILAIAN1!$C$14:$AF$63,3,FALSE)</f>
        <v>0</v>
      </c>
      <c r="H56" s="374">
        <f>VLOOKUP($M$3,PENILAIAN1!$C$14:$AF$63,4,FALSE)</f>
        <v>0</v>
      </c>
      <c r="I56" s="374">
        <f>VLOOKUP($M$3,PENILAIAN1!$C$14:$AF$63,5,FALSE)</f>
        <v>0</v>
      </c>
      <c r="J56" s="374">
        <f>VLOOKUP($M$3,PENILAIAN1!$C$14:$AF$63,6,FALSE)</f>
        <v>0</v>
      </c>
      <c r="K56" s="2"/>
      <c r="L56" s="176"/>
      <c r="M56" s="145"/>
      <c r="N56" s="145"/>
      <c r="O56" s="145"/>
      <c r="P56" s="145"/>
      <c r="Q56" s="145"/>
      <c r="R56" s="145"/>
      <c r="S56" s="145"/>
      <c r="T56" s="145"/>
      <c r="U56" s="145"/>
      <c r="V56" s="145"/>
      <c r="W56" s="145"/>
      <c r="X56" s="145"/>
      <c r="Y56" s="145"/>
      <c r="Z56" s="145"/>
    </row>
    <row r="57" spans="1:26" ht="15" customHeight="1" x14ac:dyDescent="0.25">
      <c r="A57" s="176"/>
      <c r="B57" s="363"/>
      <c r="C57" s="363"/>
      <c r="D57" s="363"/>
      <c r="E57" s="363"/>
      <c r="F57" s="363"/>
      <c r="G57" s="364"/>
      <c r="H57" s="375"/>
      <c r="I57" s="375"/>
      <c r="J57" s="375"/>
      <c r="K57" s="2"/>
      <c r="L57" s="176"/>
      <c r="M57" s="145"/>
      <c r="N57" s="145"/>
      <c r="O57" s="145"/>
      <c r="P57" s="145"/>
      <c r="Q57" s="145"/>
      <c r="R57" s="145"/>
      <c r="S57" s="145"/>
      <c r="T57" s="145"/>
      <c r="U57" s="145"/>
      <c r="V57" s="145"/>
      <c r="W57" s="145"/>
      <c r="X57" s="145"/>
      <c r="Y57" s="145"/>
      <c r="Z57" s="145"/>
    </row>
    <row r="58" spans="1:26" ht="15" customHeight="1" x14ac:dyDescent="0.25">
      <c r="A58" s="176"/>
      <c r="B58" s="363"/>
      <c r="C58" s="363"/>
      <c r="D58" s="363"/>
      <c r="E58" s="363"/>
      <c r="F58" s="363"/>
      <c r="G58" s="364"/>
      <c r="H58" s="375"/>
      <c r="I58" s="375"/>
      <c r="J58" s="375"/>
      <c r="K58" s="2"/>
      <c r="L58" s="176"/>
      <c r="M58" s="145"/>
      <c r="N58" s="145"/>
      <c r="O58" s="145"/>
      <c r="P58" s="145"/>
      <c r="Q58" s="145"/>
      <c r="R58" s="145"/>
      <c r="S58" s="145"/>
      <c r="T58" s="145"/>
      <c r="U58" s="145"/>
      <c r="V58" s="145"/>
      <c r="W58" s="145"/>
      <c r="X58" s="145"/>
      <c r="Y58" s="145"/>
      <c r="Z58" s="145"/>
    </row>
    <row r="59" spans="1:26" ht="15" customHeight="1" x14ac:dyDescent="0.25">
      <c r="A59" s="176"/>
      <c r="B59" s="363"/>
      <c r="C59" s="363"/>
      <c r="D59" s="363"/>
      <c r="E59" s="363"/>
      <c r="F59" s="363"/>
      <c r="G59" s="364"/>
      <c r="H59" s="376"/>
      <c r="I59" s="376"/>
      <c r="J59" s="376"/>
      <c r="K59" s="2"/>
      <c r="L59" s="176"/>
      <c r="M59" s="145"/>
      <c r="N59" s="145"/>
      <c r="O59" s="145"/>
      <c r="P59" s="145"/>
      <c r="Q59" s="145"/>
      <c r="R59" s="145"/>
      <c r="S59" s="145"/>
      <c r="T59" s="145"/>
      <c r="U59" s="145"/>
      <c r="V59" s="145"/>
      <c r="W59" s="145"/>
      <c r="X59" s="145"/>
      <c r="Y59" s="145"/>
      <c r="Z59" s="145"/>
    </row>
    <row r="60" spans="1:26" ht="15" customHeight="1" x14ac:dyDescent="0.25">
      <c r="A60" s="176"/>
      <c r="B60" s="360">
        <f>PROYEK1!C19</f>
        <v>0</v>
      </c>
      <c r="C60" s="361"/>
      <c r="D60" s="361"/>
      <c r="E60" s="361"/>
      <c r="F60" s="361"/>
      <c r="G60" s="361"/>
      <c r="H60" s="361"/>
      <c r="I60" s="361"/>
      <c r="J60" s="362"/>
      <c r="K60" s="2"/>
      <c r="L60" s="176"/>
      <c r="M60" s="145"/>
      <c r="N60" s="145"/>
      <c r="O60" s="145"/>
      <c r="P60" s="145"/>
      <c r="Q60" s="145"/>
      <c r="R60" s="145"/>
      <c r="S60" s="145"/>
      <c r="T60" s="145"/>
      <c r="U60" s="145"/>
      <c r="V60" s="145"/>
      <c r="W60" s="145"/>
      <c r="X60" s="145"/>
      <c r="Y60" s="145"/>
      <c r="Z60" s="145"/>
    </row>
    <row r="61" spans="1:26" ht="15" customHeight="1" x14ac:dyDescent="0.25">
      <c r="A61" s="176"/>
      <c r="B61" s="363" t="e">
        <f>PROYEK1!K19&amp;"- "&amp;PROYEK1!P19</f>
        <v>#N/A</v>
      </c>
      <c r="C61" s="363"/>
      <c r="D61" s="363"/>
      <c r="E61" s="363"/>
      <c r="F61" s="363"/>
      <c r="G61" s="364">
        <f>VLOOKUP($M$3,PENILAIAN1!$C$14:$AF$63,7,FALSE)</f>
        <v>0</v>
      </c>
      <c r="H61" s="364">
        <f>VLOOKUP($M$3,PENILAIAN1!$C$14:$AF$63,8,FALSE)</f>
        <v>0</v>
      </c>
      <c r="I61" s="364">
        <f>VLOOKUP($M$3,PENILAIAN1!$C$14:$AF$63,9,FALSE)</f>
        <v>0</v>
      </c>
      <c r="J61" s="364">
        <f>VLOOKUP($M$3,PENILAIAN1!$C$14:$AF$63,10,FALSE)</f>
        <v>0</v>
      </c>
      <c r="K61" s="2"/>
      <c r="L61" s="176"/>
      <c r="M61" s="145"/>
      <c r="N61" s="145"/>
      <c r="O61" s="145"/>
      <c r="P61" s="145"/>
      <c r="Q61" s="145"/>
      <c r="R61" s="145"/>
      <c r="S61" s="145"/>
      <c r="T61" s="145"/>
      <c r="U61" s="145"/>
      <c r="V61" s="145"/>
      <c r="W61" s="145"/>
      <c r="X61" s="145"/>
      <c r="Y61" s="145"/>
      <c r="Z61" s="145"/>
    </row>
    <row r="62" spans="1:26" ht="15" customHeight="1" x14ac:dyDescent="0.25">
      <c r="A62" s="176"/>
      <c r="B62" s="363"/>
      <c r="C62" s="363"/>
      <c r="D62" s="363"/>
      <c r="E62" s="363"/>
      <c r="F62" s="363"/>
      <c r="G62" s="364"/>
      <c r="H62" s="364"/>
      <c r="I62" s="364"/>
      <c r="J62" s="364"/>
      <c r="K62" s="2"/>
      <c r="L62" s="176"/>
      <c r="M62" s="145"/>
      <c r="N62" s="145"/>
      <c r="O62" s="145"/>
      <c r="P62" s="145"/>
      <c r="Q62" s="145"/>
      <c r="R62" s="145"/>
      <c r="S62" s="145"/>
      <c r="T62" s="145"/>
      <c r="U62" s="145"/>
      <c r="V62" s="145"/>
      <c r="W62" s="145"/>
      <c r="X62" s="145"/>
      <c r="Y62" s="145"/>
      <c r="Z62" s="145"/>
    </row>
    <row r="63" spans="1:26" ht="15" customHeight="1" x14ac:dyDescent="0.25">
      <c r="A63" s="176"/>
      <c r="B63" s="363"/>
      <c r="C63" s="363"/>
      <c r="D63" s="363"/>
      <c r="E63" s="363"/>
      <c r="F63" s="363"/>
      <c r="G63" s="364"/>
      <c r="H63" s="364"/>
      <c r="I63" s="364"/>
      <c r="J63" s="364"/>
      <c r="K63" s="2"/>
      <c r="L63" s="176"/>
      <c r="M63" s="145"/>
      <c r="N63" s="145"/>
      <c r="O63" s="145"/>
      <c r="P63" s="145"/>
      <c r="Q63" s="145"/>
      <c r="R63" s="145"/>
      <c r="S63" s="145"/>
      <c r="T63" s="145"/>
      <c r="U63" s="145"/>
      <c r="V63" s="145"/>
      <c r="W63" s="145"/>
      <c r="X63" s="145"/>
      <c r="Y63" s="145"/>
      <c r="Z63" s="145"/>
    </row>
    <row r="64" spans="1:26" x14ac:dyDescent="0.25">
      <c r="A64" s="176"/>
      <c r="B64" s="363"/>
      <c r="C64" s="363"/>
      <c r="D64" s="363"/>
      <c r="E64" s="363"/>
      <c r="F64" s="363"/>
      <c r="G64" s="364"/>
      <c r="H64" s="364"/>
      <c r="I64" s="364"/>
      <c r="J64" s="364"/>
      <c r="K64" s="2"/>
      <c r="L64" s="176"/>
      <c r="M64" s="145"/>
      <c r="N64" s="145"/>
      <c r="O64" s="145"/>
      <c r="P64" s="145"/>
      <c r="Q64" s="145"/>
      <c r="R64" s="145"/>
      <c r="S64" s="145"/>
      <c r="T64" s="145"/>
      <c r="U64" s="145"/>
      <c r="V64" s="145"/>
      <c r="W64" s="145"/>
      <c r="X64" s="145"/>
      <c r="Y64" s="145"/>
      <c r="Z64" s="145"/>
    </row>
    <row r="65" spans="1:26" x14ac:dyDescent="0.25">
      <c r="A65" s="176"/>
      <c r="B65" s="360">
        <f>PROYEK1!C25</f>
        <v>0</v>
      </c>
      <c r="C65" s="361"/>
      <c r="D65" s="361"/>
      <c r="E65" s="361"/>
      <c r="F65" s="361"/>
      <c r="G65" s="361"/>
      <c r="H65" s="361"/>
      <c r="I65" s="361"/>
      <c r="J65" s="362"/>
      <c r="K65" s="2"/>
      <c r="L65" s="176"/>
      <c r="M65" s="145"/>
      <c r="N65" s="145"/>
      <c r="O65" s="145"/>
      <c r="P65" s="145"/>
      <c r="Q65" s="145"/>
      <c r="R65" s="145"/>
      <c r="S65" s="145"/>
      <c r="T65" s="145"/>
      <c r="U65" s="145"/>
      <c r="V65" s="145"/>
      <c r="W65" s="145"/>
      <c r="X65" s="145"/>
      <c r="Y65" s="145"/>
      <c r="Z65" s="145"/>
    </row>
    <row r="66" spans="1:26" x14ac:dyDescent="0.25">
      <c r="A66" s="176"/>
      <c r="B66" s="363" t="e">
        <f>PROYEK1!K25&amp;"- "&amp;PROYEK1!P25</f>
        <v>#N/A</v>
      </c>
      <c r="C66" s="363"/>
      <c r="D66" s="363"/>
      <c r="E66" s="363"/>
      <c r="F66" s="363"/>
      <c r="G66" s="364">
        <f>VLOOKUP($M$3,PENILAIAN1!$C$14:$AF$63,11,FALSE)</f>
        <v>0</v>
      </c>
      <c r="H66" s="364">
        <f>VLOOKUP($M$3,PENILAIAN1!$C$14:$AF$63,12,FALSE)</f>
        <v>0</v>
      </c>
      <c r="I66" s="364">
        <f>VLOOKUP($M$3,PENILAIAN1!$C$14:$AF$63,13,FALSE)</f>
        <v>0</v>
      </c>
      <c r="J66" s="364">
        <f>VLOOKUP($M$3,PENILAIAN1!$C$14:$AF$63,14,FALSE)</f>
        <v>0</v>
      </c>
      <c r="K66" s="2"/>
      <c r="L66" s="176"/>
      <c r="M66" s="145"/>
      <c r="N66" s="145"/>
      <c r="O66" s="145"/>
      <c r="P66" s="145"/>
      <c r="Q66" s="145"/>
      <c r="R66" s="145"/>
      <c r="S66" s="145"/>
      <c r="T66" s="145"/>
      <c r="U66" s="145"/>
      <c r="V66" s="145"/>
      <c r="W66" s="145"/>
      <c r="X66" s="145"/>
      <c r="Y66" s="145"/>
      <c r="Z66" s="145"/>
    </row>
    <row r="67" spans="1:26" x14ac:dyDescent="0.25">
      <c r="A67" s="176"/>
      <c r="B67" s="363"/>
      <c r="C67" s="363"/>
      <c r="D67" s="363"/>
      <c r="E67" s="363"/>
      <c r="F67" s="363"/>
      <c r="G67" s="364"/>
      <c r="H67" s="364"/>
      <c r="I67" s="364"/>
      <c r="J67" s="364"/>
      <c r="K67" s="2"/>
      <c r="L67" s="176"/>
      <c r="M67" s="145"/>
      <c r="N67" s="145"/>
      <c r="O67" s="145"/>
      <c r="P67" s="145"/>
      <c r="Q67" s="145"/>
      <c r="R67" s="145"/>
      <c r="S67" s="145"/>
      <c r="T67" s="145"/>
      <c r="U67" s="145"/>
      <c r="V67" s="145"/>
      <c r="W67" s="145"/>
      <c r="X67" s="145"/>
      <c r="Y67" s="145"/>
      <c r="Z67" s="145"/>
    </row>
    <row r="68" spans="1:26" x14ac:dyDescent="0.25">
      <c r="A68" s="176"/>
      <c r="B68" s="363"/>
      <c r="C68" s="363"/>
      <c r="D68" s="363"/>
      <c r="E68" s="363"/>
      <c r="F68" s="363"/>
      <c r="G68" s="364"/>
      <c r="H68" s="364"/>
      <c r="I68" s="364"/>
      <c r="J68" s="364"/>
      <c r="K68" s="2"/>
      <c r="L68" s="176"/>
      <c r="M68" s="145"/>
      <c r="N68" s="145"/>
      <c r="O68" s="145"/>
      <c r="P68" s="145"/>
      <c r="Q68" s="145"/>
      <c r="R68" s="145"/>
      <c r="S68" s="145"/>
      <c r="T68" s="145"/>
      <c r="U68" s="145"/>
      <c r="V68" s="145"/>
      <c r="W68" s="145"/>
      <c r="X68" s="145"/>
      <c r="Y68" s="145"/>
      <c r="Z68" s="145"/>
    </row>
    <row r="69" spans="1:26" x14ac:dyDescent="0.25">
      <c r="A69" s="176"/>
      <c r="B69" s="363"/>
      <c r="C69" s="363"/>
      <c r="D69" s="363"/>
      <c r="E69" s="363"/>
      <c r="F69" s="363"/>
      <c r="G69" s="364"/>
      <c r="H69" s="364"/>
      <c r="I69" s="364"/>
      <c r="J69" s="364"/>
      <c r="K69" s="2"/>
      <c r="L69" s="176"/>
      <c r="M69" s="145"/>
      <c r="N69" s="145"/>
      <c r="O69" s="145"/>
      <c r="P69" s="145"/>
      <c r="Q69" s="145"/>
      <c r="R69" s="145"/>
      <c r="S69" s="145"/>
      <c r="T69" s="145"/>
      <c r="U69" s="145"/>
      <c r="V69" s="145"/>
      <c r="W69" s="145"/>
      <c r="X69" s="145"/>
      <c r="Y69" s="145"/>
      <c r="Z69" s="145"/>
    </row>
    <row r="70" spans="1:26" x14ac:dyDescent="0.25">
      <c r="A70" s="176"/>
      <c r="B70" s="360">
        <f>PROYEK1!C31</f>
        <v>0</v>
      </c>
      <c r="C70" s="361"/>
      <c r="D70" s="361"/>
      <c r="E70" s="361"/>
      <c r="F70" s="361"/>
      <c r="G70" s="361"/>
      <c r="H70" s="361"/>
      <c r="I70" s="361"/>
      <c r="J70" s="362"/>
      <c r="K70" s="2"/>
      <c r="L70" s="176"/>
      <c r="M70" s="145"/>
      <c r="N70" s="145"/>
      <c r="O70" s="145"/>
      <c r="P70" s="145"/>
      <c r="Q70" s="145"/>
      <c r="R70" s="145"/>
      <c r="S70" s="145"/>
      <c r="T70" s="145"/>
      <c r="U70" s="145"/>
      <c r="V70" s="145"/>
      <c r="W70" s="145"/>
      <c r="X70" s="145"/>
      <c r="Y70" s="145"/>
      <c r="Z70" s="145"/>
    </row>
    <row r="71" spans="1:26" x14ac:dyDescent="0.25">
      <c r="A71" s="176"/>
      <c r="B71" s="363" t="e">
        <f>PROYEK1!K31&amp;"- "&amp;PROYEK1!P31</f>
        <v>#N/A</v>
      </c>
      <c r="C71" s="363"/>
      <c r="D71" s="363"/>
      <c r="E71" s="363"/>
      <c r="F71" s="363"/>
      <c r="G71" s="364">
        <f>VLOOKUP($M$3,PENILAIAN1!$C$14:$AF$63,15,FALSE)</f>
        <v>0</v>
      </c>
      <c r="H71" s="364">
        <f>VLOOKUP($M$3,PENILAIAN1!$C$14:$AF$63,16,FALSE)</f>
        <v>0</v>
      </c>
      <c r="I71" s="364">
        <f>VLOOKUP($M$3,PENILAIAN1!$C$14:$AF$63,17,FALSE)</f>
        <v>0</v>
      </c>
      <c r="J71" s="364">
        <f>VLOOKUP($M$3,PENILAIAN1!$C$14:$AF$63,18,FALSE)</f>
        <v>0</v>
      </c>
      <c r="K71" s="2"/>
      <c r="L71" s="176"/>
      <c r="M71" s="145"/>
      <c r="N71" s="145"/>
      <c r="O71" s="145"/>
      <c r="P71" s="145"/>
      <c r="Q71" s="145"/>
      <c r="R71" s="145"/>
      <c r="S71" s="145"/>
      <c r="T71" s="145"/>
      <c r="U71" s="145"/>
      <c r="V71" s="145"/>
      <c r="W71" s="145"/>
      <c r="X71" s="145"/>
      <c r="Y71" s="145"/>
      <c r="Z71" s="145"/>
    </row>
    <row r="72" spans="1:26" x14ac:dyDescent="0.25">
      <c r="A72" s="176"/>
      <c r="B72" s="363"/>
      <c r="C72" s="363"/>
      <c r="D72" s="363"/>
      <c r="E72" s="363"/>
      <c r="F72" s="363"/>
      <c r="G72" s="364"/>
      <c r="H72" s="364"/>
      <c r="I72" s="364"/>
      <c r="J72" s="364"/>
      <c r="K72" s="2"/>
      <c r="L72" s="176"/>
      <c r="M72" s="145"/>
      <c r="N72" s="145"/>
      <c r="O72" s="145"/>
      <c r="P72" s="145"/>
      <c r="Q72" s="145"/>
      <c r="R72" s="145"/>
      <c r="S72" s="145"/>
      <c r="T72" s="145"/>
      <c r="U72" s="145"/>
      <c r="V72" s="145"/>
      <c r="W72" s="145"/>
      <c r="X72" s="145"/>
      <c r="Y72" s="145"/>
      <c r="Z72" s="145"/>
    </row>
    <row r="73" spans="1:26" x14ac:dyDescent="0.25">
      <c r="A73" s="176"/>
      <c r="B73" s="363"/>
      <c r="C73" s="363"/>
      <c r="D73" s="363"/>
      <c r="E73" s="363"/>
      <c r="F73" s="363"/>
      <c r="G73" s="364"/>
      <c r="H73" s="364"/>
      <c r="I73" s="364"/>
      <c r="J73" s="364"/>
      <c r="K73" s="2"/>
      <c r="L73" s="176"/>
      <c r="M73" s="145"/>
      <c r="N73" s="145"/>
      <c r="O73" s="145"/>
      <c r="P73" s="145"/>
      <c r="Q73" s="145"/>
      <c r="R73" s="145"/>
      <c r="S73" s="145"/>
      <c r="T73" s="145"/>
      <c r="U73" s="145"/>
      <c r="V73" s="145"/>
      <c r="W73" s="145"/>
      <c r="X73" s="145"/>
      <c r="Y73" s="145"/>
      <c r="Z73" s="145"/>
    </row>
    <row r="74" spans="1:26" x14ac:dyDescent="0.25">
      <c r="A74" s="176"/>
      <c r="B74" s="363"/>
      <c r="C74" s="363"/>
      <c r="D74" s="363"/>
      <c r="E74" s="363"/>
      <c r="F74" s="363"/>
      <c r="G74" s="364"/>
      <c r="H74" s="364"/>
      <c r="I74" s="364"/>
      <c r="J74" s="364"/>
      <c r="K74" s="2"/>
      <c r="L74" s="176"/>
      <c r="M74" s="145"/>
      <c r="N74" s="145"/>
      <c r="O74" s="145"/>
      <c r="P74" s="145"/>
      <c r="Q74" s="145"/>
      <c r="R74" s="145"/>
      <c r="S74" s="145"/>
      <c r="T74" s="145"/>
      <c r="U74" s="145"/>
      <c r="V74" s="145"/>
      <c r="W74" s="145"/>
      <c r="X74" s="145"/>
      <c r="Y74" s="145"/>
      <c r="Z74" s="145"/>
    </row>
    <row r="75" spans="1:26" x14ac:dyDescent="0.25">
      <c r="A75" s="176"/>
      <c r="B75" s="360">
        <f>PROYEK1!C37</f>
        <v>0</v>
      </c>
      <c r="C75" s="361"/>
      <c r="D75" s="361"/>
      <c r="E75" s="361"/>
      <c r="F75" s="361"/>
      <c r="G75" s="361"/>
      <c r="H75" s="361"/>
      <c r="I75" s="361"/>
      <c r="J75" s="362"/>
      <c r="K75" s="2"/>
      <c r="L75" s="176"/>
      <c r="M75" s="145"/>
      <c r="N75" s="145"/>
      <c r="O75" s="145"/>
      <c r="P75" s="145"/>
      <c r="Q75" s="145"/>
      <c r="R75" s="145"/>
      <c r="S75" s="145"/>
      <c r="T75" s="145"/>
      <c r="U75" s="145"/>
      <c r="V75" s="145"/>
      <c r="W75" s="145"/>
      <c r="X75" s="145"/>
      <c r="Y75" s="145"/>
      <c r="Z75" s="145"/>
    </row>
    <row r="76" spans="1:26" x14ac:dyDescent="0.25">
      <c r="A76" s="176"/>
      <c r="B76" s="363" t="e">
        <f>PROYEK1!K37&amp;"- "&amp;PROYEK1!P37</f>
        <v>#N/A</v>
      </c>
      <c r="C76" s="363"/>
      <c r="D76" s="363"/>
      <c r="E76" s="363"/>
      <c r="F76" s="363"/>
      <c r="G76" s="364">
        <f>VLOOKUP($M$3,PENILAIAN1!$C$14:$AF$63,19,FALSE)</f>
        <v>0</v>
      </c>
      <c r="H76" s="364">
        <f>VLOOKUP($M$3,PENILAIAN1!$C$14:$AF$63,20,FALSE)</f>
        <v>0</v>
      </c>
      <c r="I76" s="364">
        <f>VLOOKUP($M$3,PENILAIAN1!$C$14:$AF$63,21,FALSE)</f>
        <v>0</v>
      </c>
      <c r="J76" s="364">
        <f>VLOOKUP($M$3,PENILAIAN1!$C$14:$AF$63,22,FALSE)</f>
        <v>0</v>
      </c>
      <c r="K76" s="2"/>
      <c r="L76" s="176"/>
      <c r="M76" s="145"/>
      <c r="N76" s="145"/>
      <c r="O76" s="145"/>
      <c r="P76" s="145"/>
      <c r="Q76" s="145"/>
      <c r="R76" s="145"/>
      <c r="S76" s="145"/>
      <c r="T76" s="145"/>
      <c r="U76" s="145"/>
      <c r="V76" s="145"/>
      <c r="W76" s="145"/>
      <c r="X76" s="145"/>
      <c r="Y76" s="145"/>
      <c r="Z76" s="145"/>
    </row>
    <row r="77" spans="1:26" x14ac:dyDescent="0.25">
      <c r="A77" s="176"/>
      <c r="B77" s="363"/>
      <c r="C77" s="363"/>
      <c r="D77" s="363"/>
      <c r="E77" s="363"/>
      <c r="F77" s="363"/>
      <c r="G77" s="364"/>
      <c r="H77" s="364"/>
      <c r="I77" s="364"/>
      <c r="J77" s="364"/>
      <c r="K77" s="2"/>
      <c r="L77" s="176"/>
      <c r="M77" s="145"/>
      <c r="N77" s="145"/>
      <c r="O77" s="145"/>
      <c r="P77" s="145"/>
      <c r="Q77" s="145"/>
      <c r="R77" s="145"/>
      <c r="S77" s="145"/>
      <c r="T77" s="145"/>
      <c r="U77" s="145"/>
      <c r="V77" s="145"/>
      <c r="W77" s="145"/>
      <c r="X77" s="145"/>
      <c r="Y77" s="145"/>
      <c r="Z77" s="145"/>
    </row>
    <row r="78" spans="1:26" x14ac:dyDescent="0.25">
      <c r="A78" s="176"/>
      <c r="B78" s="363"/>
      <c r="C78" s="363"/>
      <c r="D78" s="363"/>
      <c r="E78" s="363"/>
      <c r="F78" s="363"/>
      <c r="G78" s="364"/>
      <c r="H78" s="364"/>
      <c r="I78" s="364"/>
      <c r="J78" s="364"/>
      <c r="K78" s="2"/>
      <c r="L78" s="176"/>
      <c r="M78" s="145"/>
      <c r="N78" s="145"/>
      <c r="O78" s="145"/>
      <c r="P78" s="145"/>
      <c r="Q78" s="145"/>
      <c r="R78" s="145"/>
      <c r="S78" s="145"/>
      <c r="T78" s="145"/>
      <c r="U78" s="145"/>
      <c r="V78" s="145"/>
      <c r="W78" s="145"/>
      <c r="X78" s="145"/>
      <c r="Y78" s="145"/>
      <c r="Z78" s="145"/>
    </row>
    <row r="79" spans="1:26" x14ac:dyDescent="0.25">
      <c r="A79" s="176"/>
      <c r="B79" s="363"/>
      <c r="C79" s="363"/>
      <c r="D79" s="363"/>
      <c r="E79" s="363"/>
      <c r="F79" s="363"/>
      <c r="G79" s="364"/>
      <c r="H79" s="364"/>
      <c r="I79" s="364"/>
      <c r="J79" s="364"/>
      <c r="K79" s="2"/>
      <c r="L79" s="176"/>
      <c r="M79" s="145"/>
      <c r="N79" s="145"/>
      <c r="O79" s="145"/>
      <c r="P79" s="145"/>
      <c r="Q79" s="145"/>
      <c r="R79" s="145"/>
      <c r="S79" s="145"/>
      <c r="T79" s="145"/>
      <c r="U79" s="145"/>
      <c r="V79" s="145"/>
      <c r="W79" s="145"/>
      <c r="X79" s="145"/>
      <c r="Y79" s="145"/>
      <c r="Z79" s="145"/>
    </row>
    <row r="80" spans="1:26" x14ac:dyDescent="0.25">
      <c r="A80" s="176"/>
      <c r="B80" s="360">
        <f>PROYEK1!C43</f>
        <v>0</v>
      </c>
      <c r="C80" s="361"/>
      <c r="D80" s="361"/>
      <c r="E80" s="361"/>
      <c r="F80" s="361"/>
      <c r="G80" s="361"/>
      <c r="H80" s="361"/>
      <c r="I80" s="361"/>
      <c r="J80" s="362"/>
      <c r="K80" s="2"/>
      <c r="L80" s="176"/>
      <c r="M80" s="145"/>
      <c r="N80" s="145"/>
      <c r="O80" s="145"/>
      <c r="P80" s="145"/>
      <c r="Q80" s="145"/>
      <c r="R80" s="145"/>
      <c r="S80" s="145"/>
      <c r="T80" s="145"/>
      <c r="U80" s="145"/>
      <c r="V80" s="145"/>
      <c r="W80" s="145"/>
      <c r="X80" s="145"/>
      <c r="Y80" s="145"/>
      <c r="Z80" s="145"/>
    </row>
    <row r="81" spans="1:26" x14ac:dyDescent="0.25">
      <c r="A81" s="176"/>
      <c r="B81" s="363" t="e">
        <f>PROYEK1!K43&amp;"- "&amp;PROYEK1!P43</f>
        <v>#N/A</v>
      </c>
      <c r="C81" s="363"/>
      <c r="D81" s="363"/>
      <c r="E81" s="363"/>
      <c r="F81" s="363"/>
      <c r="G81" s="364">
        <f>VLOOKUP($M$3,PENILAIAN1!$C$14:$AF$63,23,FALSE)</f>
        <v>0</v>
      </c>
      <c r="H81" s="364">
        <f>VLOOKUP($M$3,PENILAIAN1!$C$14:$AF$63,24,FALSE)</f>
        <v>0</v>
      </c>
      <c r="I81" s="364">
        <f>VLOOKUP($M$3,PENILAIAN1!$C$14:$AF$63,25,FALSE)</f>
        <v>0</v>
      </c>
      <c r="J81" s="364">
        <f>VLOOKUP($M$3,PENILAIAN1!$C$14:$AF$63,26,FALSE)</f>
        <v>0</v>
      </c>
      <c r="K81" s="2"/>
      <c r="L81" s="176"/>
      <c r="M81" s="145"/>
      <c r="N81" s="145"/>
      <c r="O81" s="145"/>
      <c r="P81" s="145"/>
      <c r="Q81" s="145"/>
      <c r="R81" s="145"/>
      <c r="S81" s="145"/>
      <c r="T81" s="145"/>
      <c r="U81" s="145"/>
      <c r="V81" s="145"/>
      <c r="W81" s="145"/>
      <c r="X81" s="145"/>
      <c r="Y81" s="145"/>
      <c r="Z81" s="145"/>
    </row>
    <row r="82" spans="1:26" x14ac:dyDescent="0.25">
      <c r="A82" s="176"/>
      <c r="B82" s="363"/>
      <c r="C82" s="363"/>
      <c r="D82" s="363"/>
      <c r="E82" s="363"/>
      <c r="F82" s="363"/>
      <c r="G82" s="364"/>
      <c r="H82" s="364"/>
      <c r="I82" s="364"/>
      <c r="J82" s="364"/>
      <c r="K82" s="2"/>
      <c r="L82" s="176"/>
      <c r="M82" s="145"/>
      <c r="N82" s="145"/>
      <c r="O82" s="145"/>
      <c r="P82" s="145"/>
      <c r="Q82" s="145"/>
      <c r="R82" s="145"/>
      <c r="S82" s="145"/>
      <c r="T82" s="145"/>
      <c r="U82" s="145"/>
      <c r="V82" s="145"/>
      <c r="W82" s="145"/>
      <c r="X82" s="145"/>
      <c r="Y82" s="145"/>
      <c r="Z82" s="145"/>
    </row>
    <row r="83" spans="1:26" x14ac:dyDescent="0.25">
      <c r="A83" s="176"/>
      <c r="B83" s="363"/>
      <c r="C83" s="363"/>
      <c r="D83" s="363"/>
      <c r="E83" s="363"/>
      <c r="F83" s="363"/>
      <c r="G83" s="364"/>
      <c r="H83" s="364"/>
      <c r="I83" s="364"/>
      <c r="J83" s="364"/>
      <c r="K83" s="2"/>
      <c r="L83" s="176"/>
      <c r="M83" s="145"/>
      <c r="N83" s="145"/>
      <c r="O83" s="145"/>
      <c r="P83" s="145"/>
      <c r="Q83" s="145"/>
      <c r="R83" s="145"/>
      <c r="S83" s="145"/>
      <c r="T83" s="145"/>
      <c r="U83" s="145"/>
      <c r="V83" s="145"/>
      <c r="W83" s="145"/>
      <c r="X83" s="145"/>
      <c r="Y83" s="145"/>
      <c r="Z83" s="145"/>
    </row>
    <row r="84" spans="1:26" x14ac:dyDescent="0.25">
      <c r="A84" s="176"/>
      <c r="B84" s="363"/>
      <c r="C84" s="363"/>
      <c r="D84" s="363"/>
      <c r="E84" s="363"/>
      <c r="F84" s="363"/>
      <c r="G84" s="364"/>
      <c r="H84" s="364"/>
      <c r="I84" s="364"/>
      <c r="J84" s="364"/>
      <c r="K84" s="2"/>
      <c r="L84" s="176"/>
      <c r="M84" s="145"/>
      <c r="N84" s="145"/>
      <c r="O84" s="145"/>
      <c r="P84" s="145"/>
      <c r="Q84" s="145"/>
      <c r="R84" s="145"/>
      <c r="S84" s="145"/>
      <c r="T84" s="145"/>
      <c r="U84" s="145"/>
      <c r="V84" s="145"/>
      <c r="W84" s="145"/>
      <c r="X84" s="145"/>
      <c r="Y84" s="145"/>
      <c r="Z84" s="145"/>
    </row>
    <row r="85" spans="1:26" x14ac:dyDescent="0.25">
      <c r="A85" s="176"/>
      <c r="B85" s="360">
        <f>PROYEK1!C49</f>
        <v>0</v>
      </c>
      <c r="C85" s="361"/>
      <c r="D85" s="361"/>
      <c r="E85" s="361"/>
      <c r="F85" s="361"/>
      <c r="G85" s="361"/>
      <c r="H85" s="361"/>
      <c r="I85" s="361"/>
      <c r="J85" s="362"/>
      <c r="K85" s="2"/>
      <c r="L85" s="176"/>
      <c r="M85" s="145"/>
      <c r="N85" s="145"/>
      <c r="O85" s="145"/>
      <c r="P85" s="145"/>
      <c r="Q85" s="145"/>
      <c r="R85" s="145"/>
      <c r="S85" s="145"/>
      <c r="T85" s="145"/>
      <c r="U85" s="145"/>
      <c r="V85" s="145"/>
      <c r="W85" s="145"/>
      <c r="X85" s="145"/>
      <c r="Y85" s="145"/>
      <c r="Z85" s="145"/>
    </row>
    <row r="86" spans="1:26" x14ac:dyDescent="0.25">
      <c r="A86" s="176"/>
      <c r="B86" s="363" t="e">
        <f>PROYEK1!K49&amp;"- "&amp;PROYEK1!P49</f>
        <v>#N/A</v>
      </c>
      <c r="C86" s="363"/>
      <c r="D86" s="363"/>
      <c r="E86" s="363"/>
      <c r="F86" s="363"/>
      <c r="G86" s="364">
        <f>VLOOKUP($M$3,PENILAIAN1!$C$14:$AF$63,27,FALSE)</f>
        <v>0</v>
      </c>
      <c r="H86" s="364">
        <f>VLOOKUP($M$3,PENILAIAN1!$C$14:$AF$63,28,FALSE)</f>
        <v>0</v>
      </c>
      <c r="I86" s="364">
        <f>VLOOKUP($M$3,PENILAIAN1!$C$14:$AF$63,29,FALSE)</f>
        <v>0</v>
      </c>
      <c r="J86" s="364">
        <f>VLOOKUP($M$3,PENILAIAN1!$C$14:$AF$63,30,FALSE)</f>
        <v>0</v>
      </c>
      <c r="K86" s="2"/>
      <c r="L86" s="176"/>
      <c r="M86" s="145"/>
      <c r="N86" s="145"/>
      <c r="O86" s="145"/>
      <c r="P86" s="145"/>
      <c r="Q86" s="145"/>
      <c r="R86" s="145"/>
      <c r="S86" s="145"/>
      <c r="T86" s="145"/>
      <c r="U86" s="145"/>
      <c r="V86" s="145"/>
      <c r="W86" s="145"/>
      <c r="X86" s="145"/>
      <c r="Y86" s="145"/>
      <c r="Z86" s="145"/>
    </row>
    <row r="87" spans="1:26" x14ac:dyDescent="0.25">
      <c r="A87" s="176"/>
      <c r="B87" s="363"/>
      <c r="C87" s="363"/>
      <c r="D87" s="363"/>
      <c r="E87" s="363"/>
      <c r="F87" s="363"/>
      <c r="G87" s="364"/>
      <c r="H87" s="364"/>
      <c r="I87" s="364"/>
      <c r="J87" s="364"/>
      <c r="K87" s="2"/>
      <c r="L87" s="176"/>
      <c r="M87" s="145"/>
      <c r="N87" s="145"/>
      <c r="O87" s="145"/>
      <c r="P87" s="145"/>
      <c r="Q87" s="145"/>
      <c r="R87" s="145"/>
      <c r="S87" s="145"/>
      <c r="T87" s="145"/>
      <c r="U87" s="145"/>
      <c r="V87" s="145"/>
      <c r="W87" s="145"/>
      <c r="X87" s="145"/>
      <c r="Y87" s="145"/>
      <c r="Z87" s="145"/>
    </row>
    <row r="88" spans="1:26" x14ac:dyDescent="0.25">
      <c r="A88" s="176"/>
      <c r="B88" s="363"/>
      <c r="C88" s="363"/>
      <c r="D88" s="363"/>
      <c r="E88" s="363"/>
      <c r="F88" s="363"/>
      <c r="G88" s="364"/>
      <c r="H88" s="364"/>
      <c r="I88" s="364"/>
      <c r="J88" s="364"/>
      <c r="K88" s="2"/>
      <c r="L88" s="176"/>
      <c r="M88" s="145"/>
      <c r="N88" s="145"/>
      <c r="O88" s="145"/>
      <c r="P88" s="145"/>
      <c r="Q88" s="145"/>
      <c r="R88" s="145"/>
      <c r="S88" s="145"/>
      <c r="T88" s="145"/>
      <c r="U88" s="145"/>
      <c r="V88" s="145"/>
      <c r="W88" s="145"/>
      <c r="X88" s="145"/>
      <c r="Y88" s="145"/>
      <c r="Z88" s="145"/>
    </row>
    <row r="89" spans="1:26" x14ac:dyDescent="0.25">
      <c r="A89" s="176"/>
      <c r="B89" s="363"/>
      <c r="C89" s="363"/>
      <c r="D89" s="363"/>
      <c r="E89" s="363"/>
      <c r="F89" s="363"/>
      <c r="G89" s="364"/>
      <c r="H89" s="364"/>
      <c r="I89" s="364"/>
      <c r="J89" s="364"/>
      <c r="K89" s="2"/>
      <c r="L89" s="176"/>
      <c r="M89" s="145"/>
      <c r="N89" s="145"/>
      <c r="O89" s="145"/>
      <c r="P89" s="145"/>
      <c r="Q89" s="145"/>
      <c r="R89" s="145"/>
      <c r="S89" s="145"/>
      <c r="T89" s="145"/>
      <c r="U89" s="145"/>
      <c r="V89" s="145"/>
      <c r="W89" s="145"/>
      <c r="X89" s="145"/>
      <c r="Y89" s="145"/>
      <c r="Z89" s="145"/>
    </row>
    <row r="90" spans="1:26" x14ac:dyDescent="0.25">
      <c r="A90" s="176"/>
      <c r="B90" s="2"/>
      <c r="C90" s="2"/>
      <c r="D90" s="2"/>
      <c r="E90" s="2"/>
      <c r="F90" s="2"/>
      <c r="G90" s="2"/>
      <c r="H90" s="2"/>
      <c r="I90" s="2"/>
      <c r="J90" s="2"/>
      <c r="K90" s="2"/>
      <c r="L90" s="176"/>
      <c r="M90" s="145"/>
      <c r="N90" s="145"/>
      <c r="O90" s="145"/>
      <c r="P90" s="145"/>
      <c r="Q90" s="145"/>
      <c r="R90" s="145"/>
      <c r="S90" s="145"/>
      <c r="T90" s="145"/>
      <c r="U90" s="145"/>
      <c r="V90" s="145"/>
      <c r="W90" s="145"/>
      <c r="X90" s="145"/>
      <c r="Y90" s="145"/>
      <c r="Z90" s="145"/>
    </row>
    <row r="91" spans="1:26" x14ac:dyDescent="0.25">
      <c r="A91" s="176"/>
      <c r="B91" s="77" t="s">
        <v>506</v>
      </c>
      <c r="C91" s="2"/>
      <c r="D91" s="2"/>
      <c r="E91" s="2"/>
      <c r="F91" s="2"/>
      <c r="G91" s="2"/>
      <c r="H91" s="2"/>
      <c r="I91" s="2"/>
      <c r="J91" s="2"/>
      <c r="K91" s="2"/>
      <c r="L91" s="176"/>
      <c r="M91" s="145"/>
      <c r="N91" s="145"/>
      <c r="O91" s="145"/>
      <c r="P91" s="145"/>
      <c r="Q91" s="145"/>
      <c r="R91" s="145"/>
      <c r="S91" s="145"/>
      <c r="T91" s="145"/>
      <c r="U91" s="145"/>
      <c r="V91" s="145"/>
      <c r="W91" s="145"/>
      <c r="X91" s="145"/>
      <c r="Y91" s="145"/>
      <c r="Z91" s="145"/>
    </row>
    <row r="92" spans="1:26" x14ac:dyDescent="0.25">
      <c r="A92" s="176"/>
      <c r="B92" s="2"/>
      <c r="C92" s="2"/>
      <c r="D92" s="2"/>
      <c r="E92" s="2"/>
      <c r="F92" s="2"/>
      <c r="G92" s="2"/>
      <c r="H92" s="2"/>
      <c r="I92" s="2"/>
      <c r="J92" s="2"/>
      <c r="K92" s="2"/>
      <c r="L92" s="176"/>
      <c r="M92" s="145"/>
      <c r="N92" s="145"/>
      <c r="O92" s="145"/>
      <c r="P92" s="145"/>
      <c r="Q92" s="145"/>
      <c r="R92" s="145"/>
      <c r="S92" s="145"/>
      <c r="T92" s="145"/>
      <c r="U92" s="145"/>
      <c r="V92" s="145"/>
      <c r="W92" s="145"/>
      <c r="X92" s="145"/>
      <c r="Y92" s="145"/>
      <c r="Z92" s="145"/>
    </row>
    <row r="93" spans="1:26" x14ac:dyDescent="0.25">
      <c r="A93" s="176"/>
      <c r="B93" s="368">
        <f>VLOOKUP($M$3,'CAT1'!$C$13:$G$62,3,FALSE)</f>
        <v>0</v>
      </c>
      <c r="C93" s="369"/>
      <c r="D93" s="369"/>
      <c r="E93" s="369"/>
      <c r="F93" s="369"/>
      <c r="G93" s="369"/>
      <c r="H93" s="369"/>
      <c r="I93" s="369"/>
      <c r="J93" s="370"/>
      <c r="K93" s="2"/>
      <c r="L93" s="176"/>
      <c r="M93" s="145"/>
      <c r="N93" s="145"/>
      <c r="O93" s="145"/>
      <c r="P93" s="145"/>
      <c r="Q93" s="145"/>
      <c r="R93" s="145"/>
      <c r="S93" s="145"/>
      <c r="T93" s="145"/>
      <c r="U93" s="145"/>
      <c r="V93" s="145"/>
      <c r="W93" s="145"/>
      <c r="X93" s="145"/>
      <c r="Y93" s="145"/>
      <c r="Z93" s="145"/>
    </row>
    <row r="94" spans="1:26" x14ac:dyDescent="0.25">
      <c r="A94" s="176"/>
      <c r="B94" s="371"/>
      <c r="C94" s="372"/>
      <c r="D94" s="372"/>
      <c r="E94" s="372"/>
      <c r="F94" s="372"/>
      <c r="G94" s="372"/>
      <c r="H94" s="372"/>
      <c r="I94" s="372"/>
      <c r="J94" s="373"/>
      <c r="K94" s="2"/>
      <c r="L94" s="176"/>
      <c r="M94" s="145"/>
      <c r="N94" s="145"/>
      <c r="O94" s="145"/>
      <c r="P94" s="145"/>
      <c r="Q94" s="145"/>
      <c r="R94" s="145"/>
      <c r="S94" s="145"/>
      <c r="T94" s="145"/>
      <c r="U94" s="145"/>
      <c r="V94" s="145"/>
      <c r="W94" s="145"/>
      <c r="X94" s="145"/>
      <c r="Y94" s="145"/>
      <c r="Z94" s="145"/>
    </row>
    <row r="95" spans="1:26" x14ac:dyDescent="0.25">
      <c r="A95" s="176"/>
      <c r="B95" s="371"/>
      <c r="C95" s="372"/>
      <c r="D95" s="372"/>
      <c r="E95" s="372"/>
      <c r="F95" s="372"/>
      <c r="G95" s="372"/>
      <c r="H95" s="372"/>
      <c r="I95" s="372"/>
      <c r="J95" s="373"/>
      <c r="K95" s="2"/>
      <c r="L95" s="176"/>
      <c r="M95" s="145"/>
      <c r="N95" s="145"/>
      <c r="O95" s="145"/>
      <c r="P95" s="145"/>
      <c r="Q95" s="145"/>
      <c r="R95" s="145"/>
      <c r="S95" s="145"/>
      <c r="T95" s="145"/>
      <c r="U95" s="145"/>
      <c r="V95" s="145"/>
      <c r="W95" s="145"/>
      <c r="X95" s="145"/>
      <c r="Y95" s="145"/>
      <c r="Z95" s="145"/>
    </row>
    <row r="96" spans="1:26" x14ac:dyDescent="0.25">
      <c r="A96" s="176"/>
      <c r="B96" s="371"/>
      <c r="C96" s="372"/>
      <c r="D96" s="372"/>
      <c r="E96" s="372"/>
      <c r="F96" s="372"/>
      <c r="G96" s="372"/>
      <c r="H96" s="372"/>
      <c r="I96" s="372"/>
      <c r="J96" s="373"/>
      <c r="K96" s="2"/>
      <c r="L96" s="176"/>
      <c r="M96" s="145"/>
      <c r="N96" s="145"/>
      <c r="O96" s="145"/>
      <c r="P96" s="145"/>
      <c r="Q96" s="145"/>
      <c r="R96" s="145"/>
      <c r="S96" s="145"/>
      <c r="T96" s="145"/>
      <c r="U96" s="145"/>
      <c r="V96" s="145"/>
      <c r="W96" s="145"/>
      <c r="X96" s="145"/>
      <c r="Y96" s="145"/>
      <c r="Z96" s="145"/>
    </row>
    <row r="97" spans="1:26" x14ac:dyDescent="0.25">
      <c r="A97" s="176"/>
      <c r="B97" s="371"/>
      <c r="C97" s="372"/>
      <c r="D97" s="372"/>
      <c r="E97" s="372"/>
      <c r="F97" s="372"/>
      <c r="G97" s="372"/>
      <c r="H97" s="372"/>
      <c r="I97" s="372"/>
      <c r="J97" s="373"/>
      <c r="K97" s="2"/>
      <c r="L97" s="176"/>
      <c r="M97" s="145"/>
      <c r="N97" s="145"/>
      <c r="O97" s="145"/>
      <c r="P97" s="145"/>
      <c r="Q97" s="145"/>
      <c r="R97" s="145"/>
      <c r="S97" s="145"/>
      <c r="T97" s="145"/>
      <c r="U97" s="145"/>
      <c r="V97" s="145"/>
      <c r="W97" s="145"/>
      <c r="X97" s="145"/>
      <c r="Y97" s="145"/>
      <c r="Z97" s="145"/>
    </row>
    <row r="98" spans="1:26" x14ac:dyDescent="0.25">
      <c r="A98" s="176"/>
      <c r="B98" s="371"/>
      <c r="C98" s="372"/>
      <c r="D98" s="372"/>
      <c r="E98" s="372"/>
      <c r="F98" s="372"/>
      <c r="G98" s="372"/>
      <c r="H98" s="372"/>
      <c r="I98" s="372"/>
      <c r="J98" s="373"/>
      <c r="K98" s="2"/>
      <c r="L98" s="176"/>
      <c r="M98" s="145"/>
      <c r="N98" s="145"/>
      <c r="O98" s="145"/>
      <c r="P98" s="145"/>
      <c r="Q98" s="145"/>
      <c r="R98" s="145"/>
      <c r="S98" s="145"/>
      <c r="T98" s="145"/>
      <c r="U98" s="145"/>
      <c r="V98" s="145"/>
      <c r="W98" s="145"/>
      <c r="X98" s="145"/>
      <c r="Y98" s="145"/>
      <c r="Z98" s="145"/>
    </row>
    <row r="99" spans="1:26" x14ac:dyDescent="0.25">
      <c r="A99" s="176"/>
      <c r="B99" s="371"/>
      <c r="C99" s="372"/>
      <c r="D99" s="372"/>
      <c r="E99" s="372"/>
      <c r="F99" s="372"/>
      <c r="G99" s="372"/>
      <c r="H99" s="372"/>
      <c r="I99" s="372"/>
      <c r="J99" s="373"/>
      <c r="K99" s="2"/>
      <c r="L99" s="176"/>
      <c r="M99" s="145"/>
      <c r="N99" s="145"/>
      <c r="O99" s="145"/>
      <c r="P99" s="145"/>
      <c r="Q99" s="145"/>
      <c r="R99" s="145"/>
      <c r="S99" s="145"/>
      <c r="T99" s="145"/>
      <c r="U99" s="145"/>
      <c r="V99" s="145"/>
      <c r="W99" s="145"/>
      <c r="X99" s="145"/>
      <c r="Y99" s="145"/>
      <c r="Z99" s="145"/>
    </row>
    <row r="100" spans="1:26" x14ac:dyDescent="0.25">
      <c r="A100" s="176"/>
      <c r="B100" s="377"/>
      <c r="C100" s="378"/>
      <c r="D100" s="378"/>
      <c r="E100" s="378"/>
      <c r="F100" s="378"/>
      <c r="G100" s="378"/>
      <c r="H100" s="378"/>
      <c r="I100" s="378"/>
      <c r="J100" s="379"/>
      <c r="K100" s="2"/>
      <c r="L100" s="176"/>
      <c r="M100" s="145"/>
      <c r="N100" s="145"/>
      <c r="O100" s="145"/>
      <c r="P100" s="145"/>
      <c r="Q100" s="145"/>
      <c r="R100" s="145"/>
      <c r="S100" s="145"/>
      <c r="T100" s="145"/>
      <c r="U100" s="145"/>
      <c r="V100" s="145"/>
      <c r="W100" s="145"/>
      <c r="X100" s="145"/>
      <c r="Y100" s="145"/>
      <c r="Z100" s="145"/>
    </row>
    <row r="101" spans="1:26" x14ac:dyDescent="0.25">
      <c r="A101" s="176"/>
      <c r="B101" s="2"/>
      <c r="C101" s="2"/>
      <c r="D101" s="2"/>
      <c r="E101" s="2"/>
      <c r="F101" s="2"/>
      <c r="G101" s="2"/>
      <c r="H101" s="2"/>
      <c r="I101" s="2"/>
      <c r="J101" s="2"/>
      <c r="K101" s="2"/>
      <c r="L101" s="176"/>
      <c r="M101" s="145"/>
      <c r="N101" s="145"/>
      <c r="O101" s="145"/>
      <c r="P101" s="145"/>
      <c r="Q101" s="145"/>
      <c r="R101" s="145"/>
      <c r="S101" s="145"/>
      <c r="T101" s="145"/>
      <c r="U101" s="145"/>
      <c r="V101" s="145"/>
      <c r="W101" s="145"/>
      <c r="X101" s="145"/>
      <c r="Y101" s="145"/>
      <c r="Z101" s="145"/>
    </row>
    <row r="102" spans="1:26" x14ac:dyDescent="0.25">
      <c r="A102" s="176"/>
      <c r="B102" s="2"/>
      <c r="C102" s="2"/>
      <c r="D102" s="2"/>
      <c r="E102" s="2"/>
      <c r="F102" s="2"/>
      <c r="G102" s="2"/>
      <c r="H102" s="2"/>
      <c r="I102" s="2"/>
      <c r="J102" s="2"/>
      <c r="K102" s="2"/>
      <c r="L102" s="176"/>
      <c r="M102" s="145"/>
      <c r="N102" s="145"/>
      <c r="O102" s="145"/>
      <c r="P102" s="145"/>
      <c r="Q102" s="145"/>
      <c r="R102" s="145"/>
      <c r="S102" s="145"/>
      <c r="T102" s="145"/>
      <c r="U102" s="145"/>
      <c r="V102" s="145"/>
      <c r="W102" s="145"/>
      <c r="X102" s="145"/>
      <c r="Y102" s="145"/>
      <c r="Z102" s="145"/>
    </row>
    <row r="103" spans="1:26" x14ac:dyDescent="0.25">
      <c r="A103" s="176"/>
      <c r="B103" s="367">
        <f>IDENTITAS!H7</f>
        <v>0</v>
      </c>
      <c r="C103" s="367"/>
      <c r="D103" s="367"/>
      <c r="E103" s="367"/>
      <c r="F103" s="367"/>
      <c r="G103" s="365" t="s">
        <v>460</v>
      </c>
      <c r="H103" s="365" t="s">
        <v>461</v>
      </c>
      <c r="I103" s="365" t="s">
        <v>462</v>
      </c>
      <c r="J103" s="365" t="s">
        <v>463</v>
      </c>
      <c r="K103" s="2"/>
      <c r="L103" s="176"/>
      <c r="M103" s="216">
        <f>M3</f>
        <v>1</v>
      </c>
      <c r="N103" s="145"/>
      <c r="O103" s="145"/>
      <c r="P103" s="145"/>
      <c r="Q103" s="145"/>
      <c r="R103" s="145"/>
      <c r="S103" s="145"/>
      <c r="T103" s="145"/>
      <c r="U103" s="145"/>
      <c r="V103" s="145"/>
      <c r="W103" s="145"/>
      <c r="X103" s="145"/>
      <c r="Y103" s="145"/>
      <c r="Z103" s="145"/>
    </row>
    <row r="104" spans="1:26" x14ac:dyDescent="0.25">
      <c r="A104" s="176"/>
      <c r="B104" s="367"/>
      <c r="C104" s="367"/>
      <c r="D104" s="367"/>
      <c r="E104" s="367"/>
      <c r="F104" s="367"/>
      <c r="G104" s="365"/>
      <c r="H104" s="365"/>
      <c r="I104" s="365"/>
      <c r="J104" s="365"/>
      <c r="K104" s="2"/>
      <c r="L104" s="176"/>
      <c r="M104" s="145"/>
      <c r="N104" s="145"/>
      <c r="O104" s="145"/>
      <c r="P104" s="145"/>
      <c r="Q104" s="145"/>
      <c r="R104" s="145"/>
      <c r="S104" s="145"/>
      <c r="T104" s="145"/>
      <c r="U104" s="145"/>
      <c r="V104" s="145"/>
      <c r="W104" s="145"/>
      <c r="X104" s="145"/>
      <c r="Y104" s="145"/>
      <c r="Z104" s="145"/>
    </row>
    <row r="105" spans="1:26" x14ac:dyDescent="0.25">
      <c r="A105" s="176"/>
      <c r="B105" s="360">
        <f>PENILAIAN2!E11</f>
        <v>0</v>
      </c>
      <c r="C105" s="361"/>
      <c r="D105" s="361"/>
      <c r="E105" s="361"/>
      <c r="F105" s="361"/>
      <c r="G105" s="361"/>
      <c r="H105" s="361"/>
      <c r="I105" s="361"/>
      <c r="J105" s="362"/>
      <c r="K105" s="2"/>
      <c r="L105" s="176"/>
      <c r="M105" s="145"/>
      <c r="N105" s="145"/>
      <c r="O105" s="145"/>
      <c r="P105" s="145"/>
      <c r="Q105" s="145"/>
      <c r="R105" s="145"/>
      <c r="S105" s="145"/>
      <c r="T105" s="145"/>
      <c r="U105" s="145"/>
      <c r="V105" s="145"/>
      <c r="W105" s="145"/>
      <c r="X105" s="145"/>
      <c r="Y105" s="145"/>
      <c r="Z105" s="145"/>
    </row>
    <row r="106" spans="1:26" x14ac:dyDescent="0.25">
      <c r="A106" s="176"/>
      <c r="B106" s="363" t="e">
        <f>PROYEK2!K13&amp;"- "&amp;PROYEK2!P13</f>
        <v>#N/A</v>
      </c>
      <c r="C106" s="363"/>
      <c r="D106" s="363"/>
      <c r="E106" s="363"/>
      <c r="F106" s="363"/>
      <c r="G106" s="364">
        <f>VLOOKUP($M$3,PENILAIAN2!$C$14:$AF$63,3,FALSE)</f>
        <v>0</v>
      </c>
      <c r="H106" s="374">
        <f>VLOOKUP($M$3,PENILAIAN2!$C$14:$AF$63,4,FALSE)</f>
        <v>0</v>
      </c>
      <c r="I106" s="374">
        <f>VLOOKUP($M$3,PENILAIAN2!$C$14:$AF$63,5,FALSE)</f>
        <v>0</v>
      </c>
      <c r="J106" s="374">
        <f>VLOOKUP($M$3,PENILAIAN2!$C$14:$AF$63,6,FALSE)</f>
        <v>0</v>
      </c>
      <c r="K106" s="2"/>
      <c r="L106" s="176"/>
      <c r="M106" s="145"/>
      <c r="N106" s="145"/>
      <c r="O106" s="145"/>
      <c r="P106" s="145"/>
      <c r="Q106" s="145"/>
      <c r="R106" s="145"/>
      <c r="S106" s="145"/>
      <c r="T106" s="145"/>
      <c r="U106" s="145"/>
      <c r="V106" s="145"/>
      <c r="W106" s="145"/>
      <c r="X106" s="145"/>
      <c r="Y106" s="145"/>
      <c r="Z106" s="145"/>
    </row>
    <row r="107" spans="1:26" x14ac:dyDescent="0.25">
      <c r="A107" s="176"/>
      <c r="B107" s="363"/>
      <c r="C107" s="363"/>
      <c r="D107" s="363"/>
      <c r="E107" s="363"/>
      <c r="F107" s="363"/>
      <c r="G107" s="364"/>
      <c r="H107" s="375"/>
      <c r="I107" s="375"/>
      <c r="J107" s="375"/>
      <c r="K107" s="2"/>
      <c r="L107" s="176"/>
      <c r="M107" s="145"/>
      <c r="N107" s="145"/>
      <c r="O107" s="145"/>
      <c r="P107" s="145"/>
      <c r="Q107" s="145"/>
      <c r="R107" s="145"/>
      <c r="S107" s="145"/>
      <c r="T107" s="145"/>
      <c r="U107" s="145"/>
      <c r="V107" s="145"/>
      <c r="W107" s="145"/>
      <c r="X107" s="145"/>
      <c r="Y107" s="145"/>
      <c r="Z107" s="145"/>
    </row>
    <row r="108" spans="1:26" x14ac:dyDescent="0.25">
      <c r="A108" s="176"/>
      <c r="B108" s="363"/>
      <c r="C108" s="363"/>
      <c r="D108" s="363"/>
      <c r="E108" s="363"/>
      <c r="F108" s="363"/>
      <c r="G108" s="364"/>
      <c r="H108" s="375"/>
      <c r="I108" s="375"/>
      <c r="J108" s="375"/>
      <c r="K108" s="2"/>
      <c r="L108" s="176"/>
      <c r="M108" s="145"/>
      <c r="N108" s="145"/>
      <c r="O108" s="145"/>
      <c r="P108" s="145"/>
      <c r="Q108" s="145"/>
      <c r="R108" s="145"/>
      <c r="S108" s="145"/>
      <c r="T108" s="145"/>
      <c r="U108" s="145"/>
      <c r="V108" s="145"/>
      <c r="W108" s="145"/>
      <c r="X108" s="145"/>
      <c r="Y108" s="145"/>
      <c r="Z108" s="145"/>
    </row>
    <row r="109" spans="1:26" x14ac:dyDescent="0.25">
      <c r="A109" s="176"/>
      <c r="B109" s="363"/>
      <c r="C109" s="363"/>
      <c r="D109" s="363"/>
      <c r="E109" s="363"/>
      <c r="F109" s="363"/>
      <c r="G109" s="364"/>
      <c r="H109" s="376"/>
      <c r="I109" s="376"/>
      <c r="J109" s="376"/>
      <c r="K109" s="2"/>
      <c r="L109" s="176"/>
      <c r="M109" s="145"/>
      <c r="N109" s="145"/>
      <c r="O109" s="145"/>
      <c r="P109" s="145"/>
      <c r="Q109" s="145"/>
      <c r="R109" s="145"/>
      <c r="S109" s="145"/>
      <c r="T109" s="145"/>
      <c r="U109" s="145"/>
      <c r="V109" s="145"/>
      <c r="W109" s="145"/>
      <c r="X109" s="145"/>
      <c r="Y109" s="145"/>
      <c r="Z109" s="145"/>
    </row>
    <row r="110" spans="1:26" x14ac:dyDescent="0.25">
      <c r="A110" s="176"/>
      <c r="B110" s="360">
        <f>PROYEK2!C19</f>
        <v>0</v>
      </c>
      <c r="C110" s="361"/>
      <c r="D110" s="361"/>
      <c r="E110" s="361"/>
      <c r="F110" s="361"/>
      <c r="G110" s="361"/>
      <c r="H110" s="361"/>
      <c r="I110" s="361"/>
      <c r="J110" s="362"/>
      <c r="K110" s="2"/>
      <c r="L110" s="176"/>
      <c r="M110" s="145"/>
      <c r="N110" s="145"/>
      <c r="O110" s="145"/>
      <c r="P110" s="145"/>
      <c r="Q110" s="145"/>
      <c r="R110" s="145"/>
      <c r="S110" s="145"/>
      <c r="T110" s="145"/>
      <c r="U110" s="145"/>
      <c r="V110" s="145"/>
      <c r="W110" s="145"/>
      <c r="X110" s="145"/>
      <c r="Y110" s="145"/>
      <c r="Z110" s="145"/>
    </row>
    <row r="111" spans="1:26" x14ac:dyDescent="0.25">
      <c r="A111" s="176"/>
      <c r="B111" s="363" t="e">
        <f>PROYEK2!K19&amp;"- "&amp;PROYEK2!P19</f>
        <v>#N/A</v>
      </c>
      <c r="C111" s="363"/>
      <c r="D111" s="363"/>
      <c r="E111" s="363"/>
      <c r="F111" s="363"/>
      <c r="G111" s="364">
        <f>VLOOKUP($M$3,PENILAIAN2!$C$14:$AF$63,7,FALSE)</f>
        <v>0</v>
      </c>
      <c r="H111" s="364">
        <f>VLOOKUP($M$3,PENILAIAN2!$C$14:$AF$63,8,FALSE)</f>
        <v>0</v>
      </c>
      <c r="I111" s="364">
        <f>VLOOKUP($M$3,PENILAIAN2!$C$14:$AF$63,9,FALSE)</f>
        <v>0</v>
      </c>
      <c r="J111" s="364">
        <f>VLOOKUP($M$3,PENILAIAN2!$C$14:$AF$63,10,FALSE)</f>
        <v>0</v>
      </c>
      <c r="K111" s="2"/>
      <c r="L111" s="176"/>
      <c r="M111" s="145"/>
      <c r="N111" s="145"/>
      <c r="O111" s="145"/>
      <c r="P111" s="145"/>
      <c r="Q111" s="145"/>
      <c r="R111" s="145"/>
      <c r="S111" s="145"/>
      <c r="T111" s="145"/>
      <c r="U111" s="145"/>
      <c r="V111" s="145"/>
      <c r="W111" s="145"/>
      <c r="X111" s="145"/>
      <c r="Y111" s="145"/>
      <c r="Z111" s="145"/>
    </row>
    <row r="112" spans="1:26" x14ac:dyDescent="0.25">
      <c r="A112" s="176"/>
      <c r="B112" s="363"/>
      <c r="C112" s="363"/>
      <c r="D112" s="363"/>
      <c r="E112" s="363"/>
      <c r="F112" s="363"/>
      <c r="G112" s="364"/>
      <c r="H112" s="364"/>
      <c r="I112" s="364"/>
      <c r="J112" s="364"/>
      <c r="K112" s="2"/>
      <c r="L112" s="176"/>
      <c r="M112" s="145"/>
      <c r="N112" s="145"/>
      <c r="O112" s="145"/>
      <c r="P112" s="145"/>
      <c r="Q112" s="145"/>
      <c r="R112" s="145"/>
      <c r="S112" s="145"/>
      <c r="T112" s="145"/>
      <c r="U112" s="145"/>
      <c r="V112" s="145"/>
      <c r="W112" s="145"/>
      <c r="X112" s="145"/>
      <c r="Y112" s="145"/>
      <c r="Z112" s="145"/>
    </row>
    <row r="113" spans="1:26" x14ac:dyDescent="0.25">
      <c r="A113" s="176"/>
      <c r="B113" s="363"/>
      <c r="C113" s="363"/>
      <c r="D113" s="363"/>
      <c r="E113" s="363"/>
      <c r="F113" s="363"/>
      <c r="G113" s="364"/>
      <c r="H113" s="364"/>
      <c r="I113" s="364"/>
      <c r="J113" s="364"/>
      <c r="K113" s="2"/>
      <c r="L113" s="176"/>
      <c r="M113" s="145"/>
      <c r="N113" s="145"/>
      <c r="O113" s="145"/>
      <c r="P113" s="145"/>
      <c r="Q113" s="145"/>
      <c r="R113" s="145"/>
      <c r="S113" s="145"/>
      <c r="T113" s="145"/>
      <c r="U113" s="145"/>
      <c r="V113" s="145"/>
      <c r="W113" s="145"/>
      <c r="X113" s="145"/>
      <c r="Y113" s="145"/>
      <c r="Z113" s="145"/>
    </row>
    <row r="114" spans="1:26" x14ac:dyDescent="0.25">
      <c r="A114" s="176"/>
      <c r="B114" s="363"/>
      <c r="C114" s="363"/>
      <c r="D114" s="363"/>
      <c r="E114" s="363"/>
      <c r="F114" s="363"/>
      <c r="G114" s="364"/>
      <c r="H114" s="364"/>
      <c r="I114" s="364"/>
      <c r="J114" s="364"/>
      <c r="K114" s="2"/>
      <c r="L114" s="176"/>
      <c r="M114" s="145"/>
      <c r="N114" s="145"/>
      <c r="O114" s="145"/>
      <c r="P114" s="145"/>
      <c r="Q114" s="145"/>
      <c r="R114" s="145"/>
      <c r="S114" s="145"/>
      <c r="T114" s="145"/>
      <c r="U114" s="145"/>
      <c r="V114" s="145"/>
      <c r="W114" s="145"/>
      <c r="X114" s="145"/>
      <c r="Y114" s="145"/>
      <c r="Z114" s="145"/>
    </row>
    <row r="115" spans="1:26" x14ac:dyDescent="0.25">
      <c r="A115" s="176"/>
      <c r="B115" s="360">
        <f>PROYEK2!C25</f>
        <v>0</v>
      </c>
      <c r="C115" s="361"/>
      <c r="D115" s="361"/>
      <c r="E115" s="361"/>
      <c r="F115" s="361"/>
      <c r="G115" s="361"/>
      <c r="H115" s="361"/>
      <c r="I115" s="361"/>
      <c r="J115" s="362"/>
      <c r="K115" s="2"/>
      <c r="L115" s="176"/>
      <c r="M115" s="145"/>
      <c r="N115" s="145"/>
      <c r="O115" s="145"/>
      <c r="P115" s="145"/>
      <c r="Q115" s="145"/>
      <c r="R115" s="145"/>
      <c r="S115" s="145"/>
      <c r="T115" s="145"/>
      <c r="U115" s="145"/>
      <c r="V115" s="145"/>
      <c r="W115" s="145"/>
      <c r="X115" s="145"/>
      <c r="Y115" s="145"/>
      <c r="Z115" s="145"/>
    </row>
    <row r="116" spans="1:26" x14ac:dyDescent="0.25">
      <c r="A116" s="176"/>
      <c r="B116" s="363" t="e">
        <f>PROYEK2!K25&amp;"- "&amp;PROYEK2!P25</f>
        <v>#N/A</v>
      </c>
      <c r="C116" s="363"/>
      <c r="D116" s="363"/>
      <c r="E116" s="363"/>
      <c r="F116" s="363"/>
      <c r="G116" s="364">
        <f>VLOOKUP($M$3,PENILAIAN2!$C$14:$AF$63,11,FALSE)</f>
        <v>0</v>
      </c>
      <c r="H116" s="364">
        <f>VLOOKUP($M$3,PENILAIAN2!$C$14:$AF$63,12,FALSE)</f>
        <v>0</v>
      </c>
      <c r="I116" s="364">
        <f>VLOOKUP($M$3,PENILAIAN2!$C$14:$AF$63,13,FALSE)</f>
        <v>0</v>
      </c>
      <c r="J116" s="364">
        <f>VLOOKUP($M$3,PENILAIAN2!$C$14:$AF$63,14,FALSE)</f>
        <v>0</v>
      </c>
      <c r="K116" s="2"/>
      <c r="L116" s="176"/>
      <c r="M116" s="145"/>
      <c r="N116" s="145"/>
      <c r="O116" s="145"/>
      <c r="P116" s="145"/>
      <c r="Q116" s="145"/>
      <c r="R116" s="145"/>
      <c r="S116" s="145"/>
      <c r="T116" s="145"/>
      <c r="U116" s="145"/>
      <c r="V116" s="145"/>
      <c r="W116" s="145"/>
      <c r="X116" s="145"/>
      <c r="Y116" s="145"/>
      <c r="Z116" s="145"/>
    </row>
    <row r="117" spans="1:26" x14ac:dyDescent="0.25">
      <c r="A117" s="176"/>
      <c r="B117" s="363"/>
      <c r="C117" s="363"/>
      <c r="D117" s="363"/>
      <c r="E117" s="363"/>
      <c r="F117" s="363"/>
      <c r="G117" s="364"/>
      <c r="H117" s="364"/>
      <c r="I117" s="364"/>
      <c r="J117" s="364"/>
      <c r="K117" s="2"/>
      <c r="L117" s="176"/>
      <c r="M117" s="145"/>
      <c r="N117" s="145"/>
      <c r="O117" s="145"/>
      <c r="P117" s="145"/>
      <c r="Q117" s="145"/>
      <c r="R117" s="145"/>
      <c r="S117" s="145"/>
      <c r="T117" s="145"/>
      <c r="U117" s="145"/>
      <c r="V117" s="145"/>
      <c r="W117" s="145"/>
      <c r="X117" s="145"/>
      <c r="Y117" s="145"/>
      <c r="Z117" s="145"/>
    </row>
    <row r="118" spans="1:26" x14ac:dyDescent="0.25">
      <c r="A118" s="176"/>
      <c r="B118" s="363"/>
      <c r="C118" s="363"/>
      <c r="D118" s="363"/>
      <c r="E118" s="363"/>
      <c r="F118" s="363"/>
      <c r="G118" s="364"/>
      <c r="H118" s="364"/>
      <c r="I118" s="364"/>
      <c r="J118" s="364"/>
      <c r="K118" s="2"/>
      <c r="L118" s="176"/>
      <c r="M118" s="145"/>
      <c r="N118" s="145"/>
      <c r="O118" s="145"/>
      <c r="P118" s="145"/>
      <c r="Q118" s="145"/>
      <c r="R118" s="145"/>
      <c r="S118" s="145"/>
      <c r="T118" s="145"/>
      <c r="U118" s="145"/>
      <c r="V118" s="145"/>
      <c r="W118" s="145"/>
      <c r="X118" s="145"/>
      <c r="Y118" s="145"/>
      <c r="Z118" s="145"/>
    </row>
    <row r="119" spans="1:26" x14ac:dyDescent="0.25">
      <c r="A119" s="176"/>
      <c r="B119" s="363"/>
      <c r="C119" s="363"/>
      <c r="D119" s="363"/>
      <c r="E119" s="363"/>
      <c r="F119" s="363"/>
      <c r="G119" s="364"/>
      <c r="H119" s="364"/>
      <c r="I119" s="364"/>
      <c r="J119" s="364"/>
      <c r="K119" s="2"/>
      <c r="L119" s="176"/>
      <c r="M119" s="145"/>
      <c r="N119" s="145"/>
      <c r="O119" s="145"/>
      <c r="P119" s="145"/>
      <c r="Q119" s="145"/>
      <c r="R119" s="145"/>
      <c r="S119" s="145"/>
      <c r="T119" s="145"/>
      <c r="U119" s="145"/>
      <c r="V119" s="145"/>
      <c r="W119" s="145"/>
      <c r="X119" s="145"/>
      <c r="Y119" s="145"/>
      <c r="Z119" s="145"/>
    </row>
    <row r="120" spans="1:26" x14ac:dyDescent="0.25">
      <c r="A120" s="176"/>
      <c r="B120" s="360">
        <f>PROYEK2!C31</f>
        <v>0</v>
      </c>
      <c r="C120" s="361"/>
      <c r="D120" s="361"/>
      <c r="E120" s="361"/>
      <c r="F120" s="361"/>
      <c r="G120" s="361"/>
      <c r="H120" s="361"/>
      <c r="I120" s="361"/>
      <c r="J120" s="362"/>
      <c r="K120" s="2"/>
      <c r="L120" s="176"/>
      <c r="M120" s="145"/>
      <c r="N120" s="145"/>
      <c r="O120" s="145"/>
      <c r="P120" s="145"/>
      <c r="Q120" s="145"/>
      <c r="R120" s="145"/>
      <c r="S120" s="145"/>
      <c r="T120" s="145"/>
      <c r="U120" s="145"/>
      <c r="V120" s="145"/>
      <c r="W120" s="145"/>
      <c r="X120" s="145"/>
      <c r="Y120" s="145"/>
      <c r="Z120" s="145"/>
    </row>
    <row r="121" spans="1:26" x14ac:dyDescent="0.25">
      <c r="A121" s="176"/>
      <c r="B121" s="363" t="e">
        <f>PROYEK2!K31&amp;"- "&amp;PROYEK2!P31</f>
        <v>#N/A</v>
      </c>
      <c r="C121" s="363"/>
      <c r="D121" s="363"/>
      <c r="E121" s="363"/>
      <c r="F121" s="363"/>
      <c r="G121" s="364">
        <f>VLOOKUP($M$3,PENILAIAN2!$C$14:$AF$63,15,FALSE)</f>
        <v>0</v>
      </c>
      <c r="H121" s="364">
        <f>VLOOKUP($M$3,PENILAIAN2!$C$14:$AF$63,16,FALSE)</f>
        <v>0</v>
      </c>
      <c r="I121" s="364">
        <f>VLOOKUP($M$3,PENILAIAN2!$C$14:$AF$63,17,FALSE)</f>
        <v>0</v>
      </c>
      <c r="J121" s="364">
        <f>VLOOKUP($M$3,PENILAIAN2!$C$14:$AF$63,18,FALSE)</f>
        <v>0</v>
      </c>
      <c r="K121" s="2"/>
      <c r="L121" s="176"/>
      <c r="M121" s="145"/>
      <c r="N121" s="145"/>
      <c r="O121" s="145"/>
      <c r="P121" s="145"/>
      <c r="Q121" s="145"/>
      <c r="R121" s="145"/>
      <c r="S121" s="145"/>
      <c r="T121" s="145"/>
      <c r="U121" s="145"/>
      <c r="V121" s="145"/>
      <c r="W121" s="145"/>
      <c r="X121" s="145"/>
      <c r="Y121" s="145"/>
      <c r="Z121" s="145"/>
    </row>
    <row r="122" spans="1:26" x14ac:dyDescent="0.25">
      <c r="A122" s="176"/>
      <c r="B122" s="363"/>
      <c r="C122" s="363"/>
      <c r="D122" s="363"/>
      <c r="E122" s="363"/>
      <c r="F122" s="363"/>
      <c r="G122" s="364"/>
      <c r="H122" s="364"/>
      <c r="I122" s="364"/>
      <c r="J122" s="364"/>
      <c r="K122" s="2"/>
      <c r="L122" s="176"/>
      <c r="M122" s="145"/>
      <c r="N122" s="145"/>
      <c r="O122" s="145"/>
      <c r="P122" s="145"/>
      <c r="Q122" s="145"/>
      <c r="R122" s="145"/>
      <c r="S122" s="145"/>
      <c r="T122" s="145"/>
      <c r="U122" s="145"/>
      <c r="V122" s="145"/>
      <c r="W122" s="145"/>
      <c r="X122" s="145"/>
      <c r="Y122" s="145"/>
      <c r="Z122" s="145"/>
    </row>
    <row r="123" spans="1:26" x14ac:dyDescent="0.25">
      <c r="A123" s="176"/>
      <c r="B123" s="363"/>
      <c r="C123" s="363"/>
      <c r="D123" s="363"/>
      <c r="E123" s="363"/>
      <c r="F123" s="363"/>
      <c r="G123" s="364"/>
      <c r="H123" s="364"/>
      <c r="I123" s="364"/>
      <c r="J123" s="364"/>
      <c r="K123" s="2"/>
      <c r="L123" s="176"/>
      <c r="M123" s="145"/>
      <c r="N123" s="145"/>
      <c r="O123" s="145"/>
      <c r="P123" s="145"/>
      <c r="Q123" s="145"/>
      <c r="R123" s="145"/>
      <c r="S123" s="145"/>
      <c r="T123" s="145"/>
      <c r="U123" s="145"/>
      <c r="V123" s="145"/>
      <c r="W123" s="145"/>
      <c r="X123" s="145"/>
      <c r="Y123" s="145"/>
      <c r="Z123" s="145"/>
    </row>
    <row r="124" spans="1:26" x14ac:dyDescent="0.25">
      <c r="A124" s="176"/>
      <c r="B124" s="363"/>
      <c r="C124" s="363"/>
      <c r="D124" s="363"/>
      <c r="E124" s="363"/>
      <c r="F124" s="363"/>
      <c r="G124" s="364"/>
      <c r="H124" s="364"/>
      <c r="I124" s="364"/>
      <c r="J124" s="364"/>
      <c r="K124" s="2"/>
      <c r="L124" s="176"/>
      <c r="M124" s="145"/>
      <c r="N124" s="145"/>
      <c r="O124" s="145"/>
      <c r="P124" s="145"/>
      <c r="Q124" s="145"/>
      <c r="R124" s="145"/>
      <c r="S124" s="145"/>
      <c r="T124" s="145"/>
      <c r="U124" s="145"/>
      <c r="V124" s="145"/>
      <c r="W124" s="145"/>
      <c r="X124" s="145"/>
      <c r="Y124" s="145"/>
      <c r="Z124" s="145"/>
    </row>
    <row r="125" spans="1:26" x14ac:dyDescent="0.25">
      <c r="A125" s="176"/>
      <c r="B125" s="360">
        <f>PROYEK2!C37</f>
        <v>0</v>
      </c>
      <c r="C125" s="361"/>
      <c r="D125" s="361"/>
      <c r="E125" s="361"/>
      <c r="F125" s="361"/>
      <c r="G125" s="361"/>
      <c r="H125" s="361"/>
      <c r="I125" s="361"/>
      <c r="J125" s="362"/>
      <c r="K125" s="2"/>
      <c r="L125" s="176"/>
      <c r="M125" s="145"/>
      <c r="N125" s="145"/>
      <c r="O125" s="145"/>
      <c r="P125" s="145"/>
      <c r="Q125" s="145"/>
      <c r="R125" s="145"/>
      <c r="S125" s="145"/>
      <c r="T125" s="145"/>
      <c r="U125" s="145"/>
      <c r="V125" s="145"/>
      <c r="W125" s="145"/>
      <c r="X125" s="145"/>
      <c r="Y125" s="145"/>
      <c r="Z125" s="145"/>
    </row>
    <row r="126" spans="1:26" x14ac:dyDescent="0.25">
      <c r="A126" s="176"/>
      <c r="B126" s="363" t="e">
        <f>PROYEK2!K37&amp;"- "&amp;PROYEK2!P37</f>
        <v>#N/A</v>
      </c>
      <c r="C126" s="363"/>
      <c r="D126" s="363"/>
      <c r="E126" s="363"/>
      <c r="F126" s="363"/>
      <c r="G126" s="364">
        <f>VLOOKUP($M$3,PENILAIAN2!$C$14:$AF$63,19,FALSE)</f>
        <v>0</v>
      </c>
      <c r="H126" s="364">
        <f>VLOOKUP($M$3,PENILAIAN2!$C$14:$AF$63,20,FALSE)</f>
        <v>0</v>
      </c>
      <c r="I126" s="364">
        <f>VLOOKUP($M$3,PENILAIAN2!$C$14:$AF$63,21,FALSE)</f>
        <v>0</v>
      </c>
      <c r="J126" s="364">
        <f>VLOOKUP($M$3,PENILAIAN2!$C$14:$AF$63,22,FALSE)</f>
        <v>0</v>
      </c>
      <c r="K126" s="2"/>
      <c r="L126" s="176"/>
      <c r="M126" s="145"/>
      <c r="N126" s="145"/>
      <c r="O126" s="145"/>
      <c r="P126" s="145"/>
      <c r="Q126" s="145"/>
      <c r="R126" s="145"/>
      <c r="S126" s="145"/>
      <c r="T126" s="145"/>
      <c r="U126" s="145"/>
      <c r="V126" s="145"/>
      <c r="W126" s="145"/>
      <c r="X126" s="145"/>
      <c r="Y126" s="145"/>
      <c r="Z126" s="145"/>
    </row>
    <row r="127" spans="1:26" x14ac:dyDescent="0.25">
      <c r="A127" s="176"/>
      <c r="B127" s="363"/>
      <c r="C127" s="363"/>
      <c r="D127" s="363"/>
      <c r="E127" s="363"/>
      <c r="F127" s="363"/>
      <c r="G127" s="364"/>
      <c r="H127" s="364"/>
      <c r="I127" s="364"/>
      <c r="J127" s="364"/>
      <c r="K127" s="2"/>
      <c r="L127" s="176"/>
      <c r="M127" s="145"/>
      <c r="N127" s="145"/>
      <c r="O127" s="145"/>
      <c r="P127" s="145"/>
      <c r="Q127" s="145"/>
      <c r="R127" s="145"/>
      <c r="S127" s="145"/>
      <c r="T127" s="145"/>
      <c r="U127" s="145"/>
      <c r="V127" s="145"/>
      <c r="W127" s="145"/>
      <c r="X127" s="145"/>
      <c r="Y127" s="145"/>
      <c r="Z127" s="145"/>
    </row>
    <row r="128" spans="1:26" x14ac:dyDescent="0.25">
      <c r="A128" s="176"/>
      <c r="B128" s="363"/>
      <c r="C128" s="363"/>
      <c r="D128" s="363"/>
      <c r="E128" s="363"/>
      <c r="F128" s="363"/>
      <c r="G128" s="364"/>
      <c r="H128" s="364"/>
      <c r="I128" s="364"/>
      <c r="J128" s="364"/>
      <c r="K128" s="2"/>
      <c r="L128" s="176"/>
      <c r="M128" s="145"/>
      <c r="N128" s="145"/>
      <c r="O128" s="145"/>
      <c r="P128" s="145"/>
      <c r="Q128" s="145"/>
      <c r="R128" s="145"/>
      <c r="S128" s="145"/>
      <c r="T128" s="145"/>
      <c r="U128" s="145"/>
      <c r="V128" s="145"/>
      <c r="W128" s="145"/>
      <c r="X128" s="145"/>
      <c r="Y128" s="145"/>
      <c r="Z128" s="145"/>
    </row>
    <row r="129" spans="1:26" x14ac:dyDescent="0.25">
      <c r="A129" s="176"/>
      <c r="B129" s="363"/>
      <c r="C129" s="363"/>
      <c r="D129" s="363"/>
      <c r="E129" s="363"/>
      <c r="F129" s="363"/>
      <c r="G129" s="364"/>
      <c r="H129" s="364"/>
      <c r="I129" s="364"/>
      <c r="J129" s="364"/>
      <c r="K129" s="2"/>
      <c r="L129" s="176"/>
      <c r="M129" s="145"/>
      <c r="N129" s="145"/>
      <c r="O129" s="145"/>
      <c r="P129" s="145"/>
      <c r="Q129" s="145"/>
      <c r="R129" s="145"/>
      <c r="S129" s="145"/>
      <c r="T129" s="145"/>
      <c r="U129" s="145"/>
      <c r="V129" s="145"/>
      <c r="W129" s="145"/>
      <c r="X129" s="145"/>
      <c r="Y129" s="145"/>
      <c r="Z129" s="145"/>
    </row>
    <row r="130" spans="1:26" x14ac:dyDescent="0.25">
      <c r="A130" s="176"/>
      <c r="B130" s="360">
        <f>PROYEK2!C43</f>
        <v>0</v>
      </c>
      <c r="C130" s="361"/>
      <c r="D130" s="361"/>
      <c r="E130" s="361"/>
      <c r="F130" s="361"/>
      <c r="G130" s="361"/>
      <c r="H130" s="361"/>
      <c r="I130" s="361"/>
      <c r="J130" s="362"/>
      <c r="K130" s="2"/>
      <c r="L130" s="176"/>
      <c r="M130" s="145"/>
      <c r="N130" s="145"/>
      <c r="O130" s="145"/>
      <c r="P130" s="145"/>
      <c r="Q130" s="145"/>
      <c r="R130" s="145"/>
      <c r="S130" s="145"/>
      <c r="T130" s="145"/>
      <c r="U130" s="145"/>
      <c r="V130" s="145"/>
      <c r="W130" s="145"/>
      <c r="X130" s="145"/>
      <c r="Y130" s="145"/>
      <c r="Z130" s="145"/>
    </row>
    <row r="131" spans="1:26" x14ac:dyDescent="0.25">
      <c r="A131" s="176"/>
      <c r="B131" s="363" t="e">
        <f>PROYEK2!K43&amp;"- "&amp;PROYEK2!P43</f>
        <v>#N/A</v>
      </c>
      <c r="C131" s="363"/>
      <c r="D131" s="363"/>
      <c r="E131" s="363"/>
      <c r="F131" s="363"/>
      <c r="G131" s="364">
        <f>VLOOKUP($M$3,PENILAIAN2!$C$14:$AF$63,23,FALSE)</f>
        <v>0</v>
      </c>
      <c r="H131" s="364">
        <f>VLOOKUP($M$3,PENILAIAN2!$C$14:$AF$63,24,FALSE)</f>
        <v>0</v>
      </c>
      <c r="I131" s="364">
        <f>VLOOKUP($M$3,PENILAIAN2!$C$14:$AF$63,25,FALSE)</f>
        <v>0</v>
      </c>
      <c r="J131" s="364">
        <f>VLOOKUP($M$3,PENILAIAN2!$C$14:$AF$63,26,FALSE)</f>
        <v>0</v>
      </c>
      <c r="K131" s="2"/>
      <c r="L131" s="176"/>
      <c r="M131" s="145"/>
      <c r="N131" s="145"/>
      <c r="O131" s="145"/>
      <c r="P131" s="145"/>
      <c r="Q131" s="145"/>
      <c r="R131" s="145"/>
      <c r="S131" s="145"/>
      <c r="T131" s="145"/>
      <c r="U131" s="145"/>
      <c r="V131" s="145"/>
      <c r="W131" s="145"/>
      <c r="X131" s="145"/>
      <c r="Y131" s="145"/>
      <c r="Z131" s="145"/>
    </row>
    <row r="132" spans="1:26" x14ac:dyDescent="0.25">
      <c r="A132" s="176"/>
      <c r="B132" s="363"/>
      <c r="C132" s="363"/>
      <c r="D132" s="363"/>
      <c r="E132" s="363"/>
      <c r="F132" s="363"/>
      <c r="G132" s="364"/>
      <c r="H132" s="364"/>
      <c r="I132" s="364"/>
      <c r="J132" s="364"/>
      <c r="K132" s="2"/>
      <c r="L132" s="176"/>
      <c r="M132" s="145"/>
      <c r="N132" s="145"/>
      <c r="O132" s="145"/>
      <c r="P132" s="145"/>
      <c r="Q132" s="145"/>
      <c r="R132" s="145"/>
      <c r="S132" s="145"/>
      <c r="T132" s="145"/>
      <c r="U132" s="145"/>
      <c r="V132" s="145"/>
      <c r="W132" s="145"/>
      <c r="X132" s="145"/>
      <c r="Y132" s="145"/>
      <c r="Z132" s="145"/>
    </row>
    <row r="133" spans="1:26" x14ac:dyDescent="0.25">
      <c r="A133" s="176"/>
      <c r="B133" s="363"/>
      <c r="C133" s="363"/>
      <c r="D133" s="363"/>
      <c r="E133" s="363"/>
      <c r="F133" s="363"/>
      <c r="G133" s="364"/>
      <c r="H133" s="364"/>
      <c r="I133" s="364"/>
      <c r="J133" s="364"/>
      <c r="K133" s="2"/>
      <c r="L133" s="176"/>
      <c r="M133" s="145"/>
      <c r="N133" s="145"/>
      <c r="O133" s="145"/>
      <c r="P133" s="145"/>
      <c r="Q133" s="145"/>
      <c r="R133" s="145"/>
      <c r="S133" s="145"/>
      <c r="T133" s="145"/>
      <c r="U133" s="145"/>
      <c r="V133" s="145"/>
      <c r="W133" s="145"/>
      <c r="X133" s="145"/>
      <c r="Y133" s="145"/>
      <c r="Z133" s="145"/>
    </row>
    <row r="134" spans="1:26" x14ac:dyDescent="0.25">
      <c r="A134" s="176"/>
      <c r="B134" s="363"/>
      <c r="C134" s="363"/>
      <c r="D134" s="363"/>
      <c r="E134" s="363"/>
      <c r="F134" s="363"/>
      <c r="G134" s="364"/>
      <c r="H134" s="364"/>
      <c r="I134" s="364"/>
      <c r="J134" s="364"/>
      <c r="K134" s="2"/>
      <c r="L134" s="176"/>
      <c r="M134" s="145"/>
      <c r="N134" s="145"/>
      <c r="O134" s="145"/>
      <c r="P134" s="145"/>
      <c r="Q134" s="145"/>
      <c r="R134" s="145"/>
      <c r="S134" s="145"/>
      <c r="T134" s="145"/>
      <c r="U134" s="145"/>
      <c r="V134" s="145"/>
      <c r="W134" s="145"/>
      <c r="X134" s="145"/>
      <c r="Y134" s="145"/>
      <c r="Z134" s="145"/>
    </row>
    <row r="135" spans="1:26" x14ac:dyDescent="0.25">
      <c r="A135" s="176"/>
      <c r="B135" s="360">
        <f>PROYEK2!C49</f>
        <v>0</v>
      </c>
      <c r="C135" s="361"/>
      <c r="D135" s="361"/>
      <c r="E135" s="361"/>
      <c r="F135" s="361"/>
      <c r="G135" s="361"/>
      <c r="H135" s="361"/>
      <c r="I135" s="361"/>
      <c r="J135" s="362"/>
      <c r="K135" s="2"/>
      <c r="L135" s="176"/>
      <c r="M135" s="145"/>
      <c r="N135" s="145"/>
      <c r="O135" s="145"/>
      <c r="P135" s="145"/>
      <c r="Q135" s="145"/>
      <c r="R135" s="145"/>
      <c r="S135" s="145"/>
      <c r="T135" s="145"/>
      <c r="U135" s="145"/>
      <c r="V135" s="145"/>
      <c r="W135" s="145"/>
      <c r="X135" s="145"/>
      <c r="Y135" s="145"/>
      <c r="Z135" s="145"/>
    </row>
    <row r="136" spans="1:26" x14ac:dyDescent="0.25">
      <c r="A136" s="176"/>
      <c r="B136" s="363" t="e">
        <f>PROYEK2!K49&amp;"- "&amp;PROYEK2!P49</f>
        <v>#N/A</v>
      </c>
      <c r="C136" s="363"/>
      <c r="D136" s="363"/>
      <c r="E136" s="363"/>
      <c r="F136" s="363"/>
      <c r="G136" s="364">
        <f>VLOOKUP($M$3,PENILAIAN2!$C$14:$AF$63,27,FALSE)</f>
        <v>0</v>
      </c>
      <c r="H136" s="364">
        <f>VLOOKUP($M$3,PENILAIAN2!$C$14:$AF$63,28,FALSE)</f>
        <v>0</v>
      </c>
      <c r="I136" s="364">
        <f>VLOOKUP($M$3,PENILAIAN2!$C$14:$AF$63,29,FALSE)</f>
        <v>0</v>
      </c>
      <c r="J136" s="364">
        <f>VLOOKUP($M$3,PENILAIAN2!$C$14:$AF$63,30,FALSE)</f>
        <v>0</v>
      </c>
      <c r="K136" s="2"/>
      <c r="L136" s="176"/>
      <c r="M136" s="145"/>
      <c r="N136" s="145"/>
      <c r="O136" s="145"/>
      <c r="P136" s="145"/>
      <c r="Q136" s="145"/>
      <c r="R136" s="145"/>
      <c r="S136" s="145"/>
      <c r="T136" s="145"/>
      <c r="U136" s="145"/>
      <c r="V136" s="145"/>
      <c r="W136" s="145"/>
      <c r="X136" s="145"/>
      <c r="Y136" s="145"/>
      <c r="Z136" s="145"/>
    </row>
    <row r="137" spans="1:26" x14ac:dyDescent="0.25">
      <c r="A137" s="176"/>
      <c r="B137" s="363"/>
      <c r="C137" s="363"/>
      <c r="D137" s="363"/>
      <c r="E137" s="363"/>
      <c r="F137" s="363"/>
      <c r="G137" s="364"/>
      <c r="H137" s="364"/>
      <c r="I137" s="364"/>
      <c r="J137" s="364"/>
      <c r="K137" s="2"/>
      <c r="L137" s="176"/>
      <c r="M137" s="145"/>
      <c r="N137" s="145"/>
      <c r="O137" s="145"/>
      <c r="P137" s="145"/>
      <c r="Q137" s="145"/>
      <c r="R137" s="145"/>
      <c r="S137" s="145"/>
      <c r="T137" s="145"/>
      <c r="U137" s="145"/>
      <c r="V137" s="145"/>
      <c r="W137" s="145"/>
      <c r="X137" s="145"/>
      <c r="Y137" s="145"/>
      <c r="Z137" s="145"/>
    </row>
    <row r="138" spans="1:26" x14ac:dyDescent="0.25">
      <c r="A138" s="176"/>
      <c r="B138" s="363"/>
      <c r="C138" s="363"/>
      <c r="D138" s="363"/>
      <c r="E138" s="363"/>
      <c r="F138" s="363"/>
      <c r="G138" s="364"/>
      <c r="H138" s="364"/>
      <c r="I138" s="364"/>
      <c r="J138" s="364"/>
      <c r="K138" s="2"/>
      <c r="L138" s="176"/>
      <c r="M138" s="145"/>
      <c r="N138" s="145"/>
      <c r="O138" s="145"/>
      <c r="P138" s="145"/>
      <c r="Q138" s="145"/>
      <c r="R138" s="145"/>
      <c r="S138" s="145"/>
      <c r="T138" s="145"/>
      <c r="U138" s="145"/>
      <c r="V138" s="145"/>
      <c r="W138" s="145"/>
      <c r="X138" s="145"/>
      <c r="Y138" s="145"/>
      <c r="Z138" s="145"/>
    </row>
    <row r="139" spans="1:26" x14ac:dyDescent="0.25">
      <c r="A139" s="176"/>
      <c r="B139" s="363"/>
      <c r="C139" s="363"/>
      <c r="D139" s="363"/>
      <c r="E139" s="363"/>
      <c r="F139" s="363"/>
      <c r="G139" s="364"/>
      <c r="H139" s="364"/>
      <c r="I139" s="364"/>
      <c r="J139" s="364"/>
      <c r="K139" s="2"/>
      <c r="L139" s="176"/>
      <c r="M139" s="145"/>
      <c r="N139" s="145"/>
      <c r="O139" s="145"/>
      <c r="P139" s="145"/>
      <c r="Q139" s="145"/>
      <c r="R139" s="145"/>
      <c r="S139" s="145"/>
      <c r="T139" s="145"/>
      <c r="U139" s="145"/>
      <c r="V139" s="145"/>
      <c r="W139" s="145"/>
      <c r="X139" s="145"/>
      <c r="Y139" s="145"/>
      <c r="Z139" s="145"/>
    </row>
    <row r="140" spans="1:26" x14ac:dyDescent="0.25">
      <c r="A140" s="176"/>
      <c r="B140" s="2"/>
      <c r="C140" s="2"/>
      <c r="D140" s="2"/>
      <c r="E140" s="2"/>
      <c r="F140" s="2"/>
      <c r="G140" s="2"/>
      <c r="H140" s="2"/>
      <c r="I140" s="2"/>
      <c r="J140" s="2"/>
      <c r="K140" s="2"/>
      <c r="L140" s="176"/>
      <c r="M140" s="145"/>
      <c r="N140" s="145"/>
      <c r="O140" s="145"/>
      <c r="P140" s="145"/>
      <c r="Q140" s="145"/>
      <c r="R140" s="145"/>
      <c r="S140" s="145"/>
      <c r="T140" s="145"/>
      <c r="U140" s="145"/>
      <c r="V140" s="145"/>
      <c r="W140" s="145"/>
      <c r="X140" s="145"/>
      <c r="Y140" s="145"/>
      <c r="Z140" s="145"/>
    </row>
    <row r="141" spans="1:26" x14ac:dyDescent="0.25">
      <c r="A141" s="176"/>
      <c r="B141" s="77" t="s">
        <v>506</v>
      </c>
      <c r="C141" s="2"/>
      <c r="D141" s="2"/>
      <c r="E141" s="2"/>
      <c r="F141" s="2"/>
      <c r="G141" s="2"/>
      <c r="H141" s="2"/>
      <c r="I141" s="2"/>
      <c r="J141" s="2"/>
      <c r="K141" s="2"/>
      <c r="L141" s="176"/>
      <c r="M141" s="145"/>
      <c r="N141" s="145"/>
      <c r="O141" s="145"/>
      <c r="P141" s="145"/>
      <c r="Q141" s="145"/>
      <c r="R141" s="145"/>
      <c r="S141" s="145"/>
      <c r="T141" s="145"/>
      <c r="U141" s="145"/>
      <c r="V141" s="145"/>
      <c r="W141" s="145"/>
      <c r="X141" s="145"/>
      <c r="Y141" s="145"/>
      <c r="Z141" s="145"/>
    </row>
    <row r="142" spans="1:26" x14ac:dyDescent="0.25">
      <c r="A142" s="176"/>
      <c r="B142" s="2"/>
      <c r="C142" s="2"/>
      <c r="D142" s="2"/>
      <c r="E142" s="2"/>
      <c r="F142" s="2"/>
      <c r="G142" s="2"/>
      <c r="H142" s="2"/>
      <c r="I142" s="2"/>
      <c r="J142" s="2"/>
      <c r="K142" s="2"/>
      <c r="L142" s="176"/>
      <c r="M142" s="145"/>
      <c r="N142" s="145"/>
      <c r="O142" s="145"/>
      <c r="P142" s="145"/>
      <c r="Q142" s="145"/>
      <c r="R142" s="145"/>
      <c r="S142" s="145"/>
      <c r="T142" s="145"/>
      <c r="U142" s="145"/>
      <c r="V142" s="145"/>
      <c r="W142" s="145"/>
      <c r="X142" s="145"/>
      <c r="Y142" s="145"/>
      <c r="Z142" s="145"/>
    </row>
    <row r="143" spans="1:26" x14ac:dyDescent="0.25">
      <c r="A143" s="176"/>
      <c r="B143" s="368">
        <f>VLOOKUP($M$3,'CAT1'!$C$13:$G$62,4,FALSE)</f>
        <v>0</v>
      </c>
      <c r="C143" s="369"/>
      <c r="D143" s="369"/>
      <c r="E143" s="369"/>
      <c r="F143" s="369"/>
      <c r="G143" s="369"/>
      <c r="H143" s="369"/>
      <c r="I143" s="369"/>
      <c r="J143" s="370"/>
      <c r="K143" s="2"/>
      <c r="L143" s="176"/>
      <c r="M143" s="145"/>
      <c r="N143" s="145"/>
      <c r="O143" s="145"/>
      <c r="P143" s="145"/>
      <c r="Q143" s="145"/>
      <c r="R143" s="145"/>
      <c r="S143" s="145"/>
      <c r="T143" s="145"/>
      <c r="U143" s="145"/>
      <c r="V143" s="145"/>
      <c r="W143" s="145"/>
      <c r="X143" s="145"/>
      <c r="Y143" s="145"/>
      <c r="Z143" s="145"/>
    </row>
    <row r="144" spans="1:26" x14ac:dyDescent="0.25">
      <c r="A144" s="176"/>
      <c r="B144" s="371"/>
      <c r="C144" s="372"/>
      <c r="D144" s="372"/>
      <c r="E144" s="372"/>
      <c r="F144" s="372"/>
      <c r="G144" s="372"/>
      <c r="H144" s="372"/>
      <c r="I144" s="372"/>
      <c r="J144" s="373"/>
      <c r="K144" s="2"/>
      <c r="L144" s="176"/>
      <c r="M144" s="145"/>
      <c r="N144" s="145"/>
      <c r="O144" s="145"/>
      <c r="P144" s="145"/>
      <c r="Q144" s="145"/>
      <c r="R144" s="145"/>
      <c r="S144" s="145"/>
      <c r="T144" s="145"/>
      <c r="U144" s="145"/>
      <c r="V144" s="145"/>
      <c r="W144" s="145"/>
      <c r="X144" s="145"/>
      <c r="Y144" s="145"/>
      <c r="Z144" s="145"/>
    </row>
    <row r="145" spans="1:26" x14ac:dyDescent="0.25">
      <c r="A145" s="176"/>
      <c r="B145" s="371"/>
      <c r="C145" s="372"/>
      <c r="D145" s="372"/>
      <c r="E145" s="372"/>
      <c r="F145" s="372"/>
      <c r="G145" s="372"/>
      <c r="H145" s="372"/>
      <c r="I145" s="372"/>
      <c r="J145" s="373"/>
      <c r="K145" s="2"/>
      <c r="L145" s="176"/>
      <c r="M145" s="145"/>
      <c r="N145" s="145"/>
      <c r="O145" s="145"/>
      <c r="P145" s="145"/>
      <c r="Q145" s="145"/>
      <c r="R145" s="145"/>
      <c r="S145" s="145"/>
      <c r="T145" s="145"/>
      <c r="U145" s="145"/>
      <c r="V145" s="145"/>
      <c r="W145" s="145"/>
      <c r="X145" s="145"/>
      <c r="Y145" s="145"/>
      <c r="Z145" s="145"/>
    </row>
    <row r="146" spans="1:26" x14ac:dyDescent="0.25">
      <c r="A146" s="176"/>
      <c r="B146" s="371"/>
      <c r="C146" s="372"/>
      <c r="D146" s="372"/>
      <c r="E146" s="372"/>
      <c r="F146" s="372"/>
      <c r="G146" s="372"/>
      <c r="H146" s="372"/>
      <c r="I146" s="372"/>
      <c r="J146" s="373"/>
      <c r="K146" s="2"/>
      <c r="L146" s="176"/>
      <c r="M146" s="145"/>
      <c r="N146" s="145"/>
      <c r="O146" s="145"/>
      <c r="P146" s="145"/>
      <c r="Q146" s="145"/>
      <c r="R146" s="145"/>
      <c r="S146" s="145"/>
      <c r="T146" s="145"/>
      <c r="U146" s="145"/>
      <c r="V146" s="145"/>
      <c r="W146" s="145"/>
      <c r="X146" s="145"/>
      <c r="Y146" s="145"/>
      <c r="Z146" s="145"/>
    </row>
    <row r="147" spans="1:26" x14ac:dyDescent="0.25">
      <c r="A147" s="176"/>
      <c r="B147" s="371"/>
      <c r="C147" s="372"/>
      <c r="D147" s="372"/>
      <c r="E147" s="372"/>
      <c r="F147" s="372"/>
      <c r="G147" s="372"/>
      <c r="H147" s="372"/>
      <c r="I147" s="372"/>
      <c r="J147" s="373"/>
      <c r="K147" s="2"/>
      <c r="L147" s="176"/>
      <c r="M147" s="145"/>
      <c r="N147" s="145"/>
      <c r="O147" s="145"/>
      <c r="P147" s="145"/>
      <c r="Q147" s="145"/>
      <c r="R147" s="145"/>
      <c r="S147" s="145"/>
      <c r="T147" s="145"/>
      <c r="U147" s="145"/>
      <c r="V147" s="145"/>
      <c r="W147" s="145"/>
      <c r="X147" s="145"/>
      <c r="Y147" s="145"/>
      <c r="Z147" s="145"/>
    </row>
    <row r="148" spans="1:26" x14ac:dyDescent="0.25">
      <c r="A148" s="176"/>
      <c r="B148" s="371"/>
      <c r="C148" s="372"/>
      <c r="D148" s="372"/>
      <c r="E148" s="372"/>
      <c r="F148" s="372"/>
      <c r="G148" s="372"/>
      <c r="H148" s="372"/>
      <c r="I148" s="372"/>
      <c r="J148" s="373"/>
      <c r="K148" s="2"/>
      <c r="L148" s="176"/>
      <c r="M148" s="145"/>
      <c r="N148" s="145"/>
      <c r="O148" s="145"/>
      <c r="P148" s="145"/>
      <c r="Q148" s="145"/>
      <c r="R148" s="145"/>
      <c r="S148" s="145"/>
      <c r="T148" s="145"/>
      <c r="U148" s="145"/>
      <c r="V148" s="145"/>
      <c r="W148" s="145"/>
      <c r="X148" s="145"/>
      <c r="Y148" s="145"/>
      <c r="Z148" s="145"/>
    </row>
    <row r="149" spans="1:26" x14ac:dyDescent="0.25">
      <c r="A149" s="176"/>
      <c r="B149" s="371"/>
      <c r="C149" s="372"/>
      <c r="D149" s="372"/>
      <c r="E149" s="372"/>
      <c r="F149" s="372"/>
      <c r="G149" s="372"/>
      <c r="H149" s="372"/>
      <c r="I149" s="372"/>
      <c r="J149" s="373"/>
      <c r="K149" s="2"/>
      <c r="L149" s="176"/>
      <c r="M149" s="145"/>
      <c r="N149" s="145"/>
      <c r="O149" s="145"/>
      <c r="P149" s="145"/>
      <c r="Q149" s="145"/>
      <c r="R149" s="145"/>
      <c r="S149" s="145"/>
      <c r="T149" s="145"/>
      <c r="U149" s="145"/>
      <c r="V149" s="145"/>
      <c r="W149" s="145"/>
      <c r="X149" s="145"/>
      <c r="Y149" s="145"/>
      <c r="Z149" s="145"/>
    </row>
    <row r="150" spans="1:26" x14ac:dyDescent="0.25">
      <c r="A150" s="176"/>
      <c r="B150" s="371"/>
      <c r="C150" s="372"/>
      <c r="D150" s="372"/>
      <c r="E150" s="372"/>
      <c r="F150" s="372"/>
      <c r="G150" s="372"/>
      <c r="H150" s="372"/>
      <c r="I150" s="372"/>
      <c r="J150" s="373"/>
      <c r="K150" s="2"/>
      <c r="L150" s="176"/>
      <c r="M150" s="145"/>
      <c r="N150" s="145"/>
      <c r="O150" s="145"/>
      <c r="P150" s="145"/>
      <c r="Q150" s="145"/>
      <c r="R150" s="145"/>
      <c r="S150" s="145"/>
      <c r="T150" s="145"/>
      <c r="U150" s="145"/>
      <c r="V150" s="145"/>
      <c r="W150" s="145"/>
      <c r="X150" s="145"/>
      <c r="Y150" s="145"/>
      <c r="Z150" s="145"/>
    </row>
    <row r="151" spans="1:26" x14ac:dyDescent="0.25">
      <c r="A151" s="176"/>
      <c r="B151" s="220"/>
      <c r="C151" s="220"/>
      <c r="D151" s="220"/>
      <c r="E151" s="220"/>
      <c r="F151" s="220"/>
      <c r="G151" s="220"/>
      <c r="H151" s="220"/>
      <c r="I151" s="220"/>
      <c r="J151" s="220"/>
      <c r="K151" s="2"/>
      <c r="L151" s="176"/>
      <c r="M151" s="145"/>
      <c r="N151" s="145"/>
      <c r="O151" s="145"/>
      <c r="P151" s="145"/>
      <c r="Q151" s="145"/>
      <c r="R151" s="145"/>
      <c r="S151" s="145"/>
      <c r="T151" s="145"/>
      <c r="U151" s="145"/>
      <c r="V151" s="145"/>
      <c r="W151" s="145"/>
      <c r="X151" s="145"/>
      <c r="Y151" s="145"/>
      <c r="Z151" s="145"/>
    </row>
    <row r="152" spans="1:26" x14ac:dyDescent="0.25">
      <c r="A152" s="176"/>
      <c r="B152" s="198"/>
      <c r="C152" s="198"/>
      <c r="D152" s="198"/>
      <c r="E152" s="198"/>
      <c r="F152" s="198"/>
      <c r="G152" s="198"/>
      <c r="H152" s="198"/>
      <c r="I152" s="198"/>
      <c r="J152" s="199"/>
      <c r="K152" s="2"/>
      <c r="L152" s="176"/>
      <c r="M152" s="145"/>
      <c r="N152" s="145"/>
      <c r="O152" s="145"/>
      <c r="P152" s="145"/>
      <c r="Q152" s="145"/>
      <c r="R152" s="145"/>
      <c r="S152" s="145"/>
      <c r="T152" s="145"/>
      <c r="U152" s="145"/>
      <c r="V152" s="145"/>
      <c r="W152" s="145"/>
      <c r="X152" s="145"/>
      <c r="Y152" s="145"/>
      <c r="Z152" s="145"/>
    </row>
    <row r="153" spans="1:26" x14ac:dyDescent="0.25">
      <c r="A153" s="176"/>
      <c r="B153" s="366">
        <f>IDENTITAS!H9</f>
        <v>0</v>
      </c>
      <c r="C153" s="367"/>
      <c r="D153" s="367"/>
      <c r="E153" s="367"/>
      <c r="F153" s="367"/>
      <c r="G153" s="365" t="s">
        <v>460</v>
      </c>
      <c r="H153" s="365" t="s">
        <v>461</v>
      </c>
      <c r="I153" s="365" t="s">
        <v>462</v>
      </c>
      <c r="J153" s="365" t="s">
        <v>463</v>
      </c>
      <c r="K153" s="2"/>
      <c r="L153" s="176"/>
      <c r="M153" s="215">
        <f>M103</f>
        <v>1</v>
      </c>
      <c r="N153" s="145"/>
      <c r="O153" s="145"/>
      <c r="P153" s="145"/>
      <c r="Q153" s="145"/>
      <c r="R153" s="145"/>
      <c r="S153" s="145"/>
      <c r="T153" s="145"/>
      <c r="U153" s="145"/>
      <c r="V153" s="145"/>
      <c r="W153" s="145"/>
      <c r="X153" s="145"/>
      <c r="Y153" s="145"/>
      <c r="Z153" s="145"/>
    </row>
    <row r="154" spans="1:26" x14ac:dyDescent="0.25">
      <c r="A154" s="176"/>
      <c r="B154" s="367"/>
      <c r="C154" s="367"/>
      <c r="D154" s="367"/>
      <c r="E154" s="367"/>
      <c r="F154" s="367"/>
      <c r="G154" s="365"/>
      <c r="H154" s="365"/>
      <c r="I154" s="365"/>
      <c r="J154" s="365"/>
      <c r="K154" s="2"/>
      <c r="L154" s="176"/>
      <c r="M154" s="145"/>
      <c r="N154" s="145"/>
      <c r="O154" s="145"/>
      <c r="P154" s="145"/>
      <c r="Q154" s="145"/>
      <c r="R154" s="145"/>
      <c r="S154" s="145"/>
      <c r="T154" s="145"/>
      <c r="U154" s="145"/>
      <c r="V154" s="145"/>
      <c r="W154" s="145"/>
      <c r="X154" s="145"/>
      <c r="Y154" s="145"/>
      <c r="Z154" s="145"/>
    </row>
    <row r="155" spans="1:26" x14ac:dyDescent="0.25">
      <c r="A155" s="176"/>
      <c r="B155" s="360">
        <f>PROYEK3!C13</f>
        <v>0</v>
      </c>
      <c r="C155" s="361"/>
      <c r="D155" s="361"/>
      <c r="E155" s="361"/>
      <c r="F155" s="361"/>
      <c r="G155" s="361"/>
      <c r="H155" s="361"/>
      <c r="I155" s="361"/>
      <c r="J155" s="362"/>
      <c r="K155" s="2"/>
      <c r="L155" s="176"/>
      <c r="M155" s="145"/>
      <c r="N155" s="145"/>
      <c r="O155" s="145"/>
      <c r="P155" s="145"/>
      <c r="Q155" s="145"/>
      <c r="R155" s="145"/>
      <c r="S155" s="145"/>
      <c r="T155" s="145"/>
      <c r="U155" s="145"/>
      <c r="V155" s="145"/>
      <c r="W155" s="145"/>
      <c r="X155" s="145"/>
      <c r="Y155" s="145"/>
      <c r="Z155" s="145"/>
    </row>
    <row r="156" spans="1:26" x14ac:dyDescent="0.25">
      <c r="A156" s="176"/>
      <c r="B156" s="363" t="e">
        <f>PROYEK3!K13&amp;"- "&amp;PROYEK3!P13</f>
        <v>#N/A</v>
      </c>
      <c r="C156" s="363"/>
      <c r="D156" s="363"/>
      <c r="E156" s="363"/>
      <c r="F156" s="363"/>
      <c r="G156" s="364">
        <f>VLOOKUP($M$3,PENILAIAN3!$C$14:$AF$63,3,FALSE)</f>
        <v>0</v>
      </c>
      <c r="H156" s="374">
        <f>VLOOKUP($M$3,PENILAIAN3!$C$14:$AF$63,4,FALSE)</f>
        <v>0</v>
      </c>
      <c r="I156" s="374">
        <f>VLOOKUP($M$3,PENILAIAN3!$C$14:$AF$63,5,FALSE)</f>
        <v>0</v>
      </c>
      <c r="J156" s="374">
        <f>VLOOKUP($M$3,PENILAIAN3!$C$14:$AF$63,6,FALSE)</f>
        <v>0</v>
      </c>
      <c r="K156" s="2"/>
      <c r="L156" s="176"/>
      <c r="M156" s="145"/>
      <c r="N156" s="145"/>
      <c r="O156" s="145"/>
      <c r="P156" s="145"/>
      <c r="Q156" s="145"/>
      <c r="R156" s="145"/>
      <c r="S156" s="145"/>
      <c r="T156" s="145"/>
      <c r="U156" s="145"/>
      <c r="V156" s="145"/>
      <c r="W156" s="145"/>
      <c r="X156" s="145"/>
      <c r="Y156" s="145"/>
      <c r="Z156" s="145"/>
    </row>
    <row r="157" spans="1:26" x14ac:dyDescent="0.25">
      <c r="A157" s="176"/>
      <c r="B157" s="363"/>
      <c r="C157" s="363"/>
      <c r="D157" s="363"/>
      <c r="E157" s="363"/>
      <c r="F157" s="363"/>
      <c r="G157" s="364"/>
      <c r="H157" s="375"/>
      <c r="I157" s="375"/>
      <c r="J157" s="375"/>
      <c r="K157" s="2"/>
      <c r="L157" s="176"/>
      <c r="M157" s="145"/>
      <c r="N157" s="145"/>
      <c r="O157" s="145"/>
      <c r="P157" s="145"/>
      <c r="Q157" s="145"/>
      <c r="R157" s="145"/>
      <c r="S157" s="145"/>
      <c r="T157" s="145"/>
      <c r="U157" s="145"/>
      <c r="V157" s="145"/>
      <c r="W157" s="145"/>
      <c r="X157" s="145"/>
      <c r="Y157" s="145"/>
      <c r="Z157" s="145"/>
    </row>
    <row r="158" spans="1:26" x14ac:dyDescent="0.25">
      <c r="A158" s="176"/>
      <c r="B158" s="363"/>
      <c r="C158" s="363"/>
      <c r="D158" s="363"/>
      <c r="E158" s="363"/>
      <c r="F158" s="363"/>
      <c r="G158" s="364"/>
      <c r="H158" s="375"/>
      <c r="I158" s="375"/>
      <c r="J158" s="375"/>
      <c r="K158" s="2"/>
      <c r="L158" s="176"/>
      <c r="M158" s="145"/>
      <c r="N158" s="145"/>
      <c r="O158" s="145"/>
      <c r="P158" s="145"/>
      <c r="Q158" s="145"/>
      <c r="R158" s="145"/>
      <c r="S158" s="145"/>
      <c r="T158" s="145"/>
      <c r="U158" s="145"/>
      <c r="V158" s="145"/>
      <c r="W158" s="145"/>
      <c r="X158" s="145"/>
      <c r="Y158" s="145"/>
      <c r="Z158" s="145"/>
    </row>
    <row r="159" spans="1:26" x14ac:dyDescent="0.25">
      <c r="A159" s="176"/>
      <c r="B159" s="363"/>
      <c r="C159" s="363"/>
      <c r="D159" s="363"/>
      <c r="E159" s="363"/>
      <c r="F159" s="363"/>
      <c r="G159" s="364"/>
      <c r="H159" s="376"/>
      <c r="I159" s="376"/>
      <c r="J159" s="376"/>
      <c r="K159" s="2"/>
      <c r="L159" s="176"/>
      <c r="M159" s="145"/>
      <c r="N159" s="145"/>
      <c r="O159" s="145"/>
      <c r="P159" s="145"/>
      <c r="Q159" s="145"/>
      <c r="R159" s="145"/>
      <c r="S159" s="145"/>
      <c r="T159" s="145"/>
      <c r="U159" s="145"/>
      <c r="V159" s="145"/>
      <c r="W159" s="145"/>
      <c r="X159" s="145"/>
      <c r="Y159" s="145"/>
      <c r="Z159" s="145"/>
    </row>
    <row r="160" spans="1:26" x14ac:dyDescent="0.25">
      <c r="A160" s="176"/>
      <c r="B160" s="360">
        <f>PROYEK3!C19</f>
        <v>0</v>
      </c>
      <c r="C160" s="361"/>
      <c r="D160" s="361"/>
      <c r="E160" s="361"/>
      <c r="F160" s="361"/>
      <c r="G160" s="361"/>
      <c r="H160" s="361"/>
      <c r="I160" s="361"/>
      <c r="J160" s="362"/>
      <c r="K160" s="2"/>
      <c r="L160" s="176"/>
      <c r="M160" s="145"/>
      <c r="N160" s="145"/>
      <c r="O160" s="145"/>
      <c r="P160" s="145"/>
      <c r="Q160" s="145"/>
      <c r="R160" s="145"/>
      <c r="S160" s="145"/>
      <c r="T160" s="145"/>
      <c r="U160" s="145"/>
      <c r="V160" s="145"/>
      <c r="W160" s="145"/>
      <c r="X160" s="145"/>
      <c r="Y160" s="145"/>
      <c r="Z160" s="145"/>
    </row>
    <row r="161" spans="1:26" x14ac:dyDescent="0.25">
      <c r="A161" s="176"/>
      <c r="B161" s="363" t="e">
        <f>PROYEK3!K19&amp;"- "&amp;PROYEK3!P19</f>
        <v>#N/A</v>
      </c>
      <c r="C161" s="363"/>
      <c r="D161" s="363"/>
      <c r="E161" s="363"/>
      <c r="F161" s="363"/>
      <c r="G161" s="364">
        <f>VLOOKUP($M$3,PENILAIAN3!$C$14:$AF$63,7,FALSE)</f>
        <v>0</v>
      </c>
      <c r="H161" s="364">
        <f>VLOOKUP($M$3,PENILAIAN3!$C$14:$AF$63,8,FALSE)</f>
        <v>0</v>
      </c>
      <c r="I161" s="364">
        <f>VLOOKUP($M$3,PENILAIAN3!$C$14:$AF$63,9,FALSE)</f>
        <v>0</v>
      </c>
      <c r="J161" s="364">
        <f>VLOOKUP($M$3,PENILAIAN3!$C$14:$AF$63,10,FALSE)</f>
        <v>0</v>
      </c>
      <c r="K161" s="2"/>
      <c r="L161" s="176"/>
      <c r="M161" s="145"/>
      <c r="N161" s="145"/>
      <c r="O161" s="145"/>
      <c r="P161" s="145"/>
      <c r="Q161" s="145"/>
      <c r="R161" s="145"/>
      <c r="S161" s="145"/>
      <c r="T161" s="145"/>
      <c r="U161" s="145"/>
      <c r="V161" s="145"/>
      <c r="W161" s="145"/>
      <c r="X161" s="145"/>
      <c r="Y161" s="145"/>
      <c r="Z161" s="145"/>
    </row>
    <row r="162" spans="1:26" x14ac:dyDescent="0.25">
      <c r="A162" s="176"/>
      <c r="B162" s="363"/>
      <c r="C162" s="363"/>
      <c r="D162" s="363"/>
      <c r="E162" s="363"/>
      <c r="F162" s="363"/>
      <c r="G162" s="364"/>
      <c r="H162" s="364"/>
      <c r="I162" s="364"/>
      <c r="J162" s="364"/>
      <c r="K162" s="2"/>
      <c r="L162" s="176"/>
      <c r="M162" s="145"/>
      <c r="N162" s="145"/>
      <c r="O162" s="145"/>
      <c r="P162" s="145"/>
      <c r="Q162" s="145"/>
      <c r="R162" s="145"/>
      <c r="S162" s="145"/>
      <c r="T162" s="145"/>
      <c r="U162" s="145"/>
      <c r="V162" s="145"/>
      <c r="W162" s="145"/>
      <c r="X162" s="145"/>
      <c r="Y162" s="145"/>
      <c r="Z162" s="145"/>
    </row>
    <row r="163" spans="1:26" x14ac:dyDescent="0.25">
      <c r="A163" s="176"/>
      <c r="B163" s="363"/>
      <c r="C163" s="363"/>
      <c r="D163" s="363"/>
      <c r="E163" s="363"/>
      <c r="F163" s="363"/>
      <c r="G163" s="364"/>
      <c r="H163" s="364"/>
      <c r="I163" s="364"/>
      <c r="J163" s="364"/>
      <c r="K163" s="2"/>
      <c r="L163" s="176"/>
      <c r="M163" s="145"/>
      <c r="N163" s="145"/>
      <c r="O163" s="145"/>
      <c r="P163" s="145"/>
      <c r="Q163" s="145"/>
      <c r="R163" s="145"/>
      <c r="S163" s="145"/>
      <c r="T163" s="145"/>
      <c r="U163" s="145"/>
      <c r="V163" s="145"/>
      <c r="W163" s="145"/>
      <c r="X163" s="145"/>
      <c r="Y163" s="145"/>
      <c r="Z163" s="145"/>
    </row>
    <row r="164" spans="1:26" x14ac:dyDescent="0.25">
      <c r="A164" s="176"/>
      <c r="B164" s="363"/>
      <c r="C164" s="363"/>
      <c r="D164" s="363"/>
      <c r="E164" s="363"/>
      <c r="F164" s="363"/>
      <c r="G164" s="364"/>
      <c r="H164" s="364"/>
      <c r="I164" s="364"/>
      <c r="J164" s="364"/>
      <c r="K164" s="2"/>
      <c r="L164" s="176"/>
      <c r="M164" s="145"/>
      <c r="N164" s="145"/>
      <c r="O164" s="145"/>
      <c r="P164" s="145"/>
      <c r="Q164" s="145"/>
      <c r="R164" s="145"/>
      <c r="S164" s="145"/>
      <c r="T164" s="145"/>
      <c r="U164" s="145"/>
      <c r="V164" s="145"/>
      <c r="W164" s="145"/>
      <c r="X164" s="145"/>
      <c r="Y164" s="145"/>
      <c r="Z164" s="145"/>
    </row>
    <row r="165" spans="1:26" x14ac:dyDescent="0.25">
      <c r="A165" s="176"/>
      <c r="B165" s="360">
        <f>PROYEK3!C25</f>
        <v>0</v>
      </c>
      <c r="C165" s="361"/>
      <c r="D165" s="361"/>
      <c r="E165" s="361"/>
      <c r="F165" s="361"/>
      <c r="G165" s="361"/>
      <c r="H165" s="361"/>
      <c r="I165" s="361"/>
      <c r="J165" s="362"/>
      <c r="K165" s="2"/>
      <c r="L165" s="176"/>
      <c r="M165" s="145"/>
      <c r="N165" s="145"/>
      <c r="O165" s="145"/>
      <c r="P165" s="145"/>
      <c r="Q165" s="145"/>
      <c r="R165" s="145"/>
      <c r="S165" s="145"/>
      <c r="T165" s="145"/>
      <c r="U165" s="145"/>
      <c r="V165" s="145"/>
      <c r="W165" s="145"/>
      <c r="X165" s="145"/>
      <c r="Y165" s="145"/>
      <c r="Z165" s="145"/>
    </row>
    <row r="166" spans="1:26" x14ac:dyDescent="0.25">
      <c r="A166" s="176"/>
      <c r="B166" s="363" t="e">
        <f>PROYEK3!K25&amp;"- "&amp;PROYEK3!P25</f>
        <v>#N/A</v>
      </c>
      <c r="C166" s="363"/>
      <c r="D166" s="363"/>
      <c r="E166" s="363"/>
      <c r="F166" s="363"/>
      <c r="G166" s="364">
        <f>VLOOKUP($M$3,PENILAIAN3!$C$14:$AF$63,11,FALSE)</f>
        <v>0</v>
      </c>
      <c r="H166" s="364">
        <f>VLOOKUP($M$3,PENILAIAN3!$C$14:$AF$63,12,FALSE)</f>
        <v>0</v>
      </c>
      <c r="I166" s="380">
        <f>VLOOKUP($M$3,PENILAIAN3!$C$14:$AF$63,13,FALSE)</f>
        <v>0</v>
      </c>
      <c r="J166" s="364">
        <f>VLOOKUP($M$3,PENILAIAN3!$C$14:$AF$63,14,FALSE)</f>
        <v>0</v>
      </c>
      <c r="K166" s="2"/>
      <c r="L166" s="176"/>
      <c r="M166" s="145"/>
      <c r="N166" s="145"/>
      <c r="O166" s="145"/>
      <c r="P166" s="145"/>
      <c r="Q166" s="145"/>
      <c r="R166" s="145"/>
      <c r="S166" s="145"/>
      <c r="T166" s="145"/>
      <c r="U166" s="145"/>
      <c r="V166" s="145"/>
      <c r="W166" s="145"/>
      <c r="X166" s="145"/>
      <c r="Y166" s="145"/>
      <c r="Z166" s="145"/>
    </row>
    <row r="167" spans="1:26" x14ac:dyDescent="0.25">
      <c r="A167" s="176"/>
      <c r="B167" s="363"/>
      <c r="C167" s="363"/>
      <c r="D167" s="363"/>
      <c r="E167" s="363"/>
      <c r="F167" s="363"/>
      <c r="G167" s="364"/>
      <c r="H167" s="364"/>
      <c r="I167" s="380"/>
      <c r="J167" s="364"/>
      <c r="K167" s="2"/>
      <c r="L167" s="176"/>
      <c r="M167" s="145"/>
      <c r="N167" s="145"/>
      <c r="O167" s="145"/>
      <c r="P167" s="145"/>
      <c r="Q167" s="145"/>
      <c r="R167" s="145"/>
      <c r="S167" s="145"/>
      <c r="T167" s="145"/>
      <c r="U167" s="145"/>
      <c r="V167" s="145"/>
      <c r="W167" s="145"/>
      <c r="X167" s="145"/>
      <c r="Y167" s="145"/>
      <c r="Z167" s="145"/>
    </row>
    <row r="168" spans="1:26" x14ac:dyDescent="0.25">
      <c r="A168" s="176"/>
      <c r="B168" s="363"/>
      <c r="C168" s="363"/>
      <c r="D168" s="363"/>
      <c r="E168" s="363"/>
      <c r="F168" s="363"/>
      <c r="G168" s="364"/>
      <c r="H168" s="364"/>
      <c r="I168" s="380"/>
      <c r="J168" s="364"/>
      <c r="K168" s="2"/>
      <c r="L168" s="176"/>
      <c r="M168" s="145"/>
      <c r="N168" s="145"/>
      <c r="O168" s="145"/>
      <c r="P168" s="145"/>
      <c r="Q168" s="145"/>
      <c r="R168" s="145"/>
      <c r="S168" s="145"/>
      <c r="T168" s="145"/>
      <c r="U168" s="145"/>
      <c r="V168" s="145"/>
      <c r="W168" s="145"/>
      <c r="X168" s="145"/>
      <c r="Y168" s="145"/>
      <c r="Z168" s="145"/>
    </row>
    <row r="169" spans="1:26" x14ac:dyDescent="0.25">
      <c r="A169" s="176"/>
      <c r="B169" s="363"/>
      <c r="C169" s="363"/>
      <c r="D169" s="363"/>
      <c r="E169" s="363"/>
      <c r="F169" s="363"/>
      <c r="G169" s="364"/>
      <c r="H169" s="364"/>
      <c r="I169" s="380"/>
      <c r="J169" s="364"/>
      <c r="K169" s="2"/>
      <c r="L169" s="176"/>
      <c r="M169" s="145"/>
      <c r="N169" s="145"/>
      <c r="O169" s="145"/>
      <c r="P169" s="145"/>
      <c r="Q169" s="145"/>
      <c r="R169" s="145"/>
      <c r="S169" s="145"/>
      <c r="T169" s="145"/>
      <c r="U169" s="145"/>
      <c r="V169" s="145"/>
      <c r="W169" s="145"/>
      <c r="X169" s="145"/>
      <c r="Y169" s="145"/>
      <c r="Z169" s="145"/>
    </row>
    <row r="170" spans="1:26" x14ac:dyDescent="0.25">
      <c r="A170" s="176"/>
      <c r="B170" s="360">
        <f>PROYEK3!C31</f>
        <v>0</v>
      </c>
      <c r="C170" s="361"/>
      <c r="D170" s="361"/>
      <c r="E170" s="361"/>
      <c r="F170" s="361"/>
      <c r="G170" s="361"/>
      <c r="H170" s="361"/>
      <c r="I170" s="361"/>
      <c r="J170" s="362"/>
      <c r="K170" s="2"/>
      <c r="L170" s="176"/>
      <c r="M170" s="145"/>
      <c r="N170" s="145"/>
      <c r="O170" s="145"/>
      <c r="P170" s="145"/>
      <c r="Q170" s="145"/>
      <c r="R170" s="145"/>
      <c r="S170" s="145"/>
      <c r="T170" s="145"/>
      <c r="U170" s="145"/>
      <c r="V170" s="145"/>
      <c r="W170" s="145"/>
      <c r="X170" s="145"/>
      <c r="Y170" s="145"/>
      <c r="Z170" s="145"/>
    </row>
    <row r="171" spans="1:26" x14ac:dyDescent="0.25">
      <c r="A171" s="176"/>
      <c r="B171" s="363" t="e">
        <f>PROYEK3!K31&amp;"- "&amp;PROYEK3!P31</f>
        <v>#N/A</v>
      </c>
      <c r="C171" s="363"/>
      <c r="D171" s="363"/>
      <c r="E171" s="363"/>
      <c r="F171" s="363"/>
      <c r="G171" s="364">
        <f>VLOOKUP($M$3,PENILAIAN3!$C$14:$AF$63,15,FALSE)</f>
        <v>0</v>
      </c>
      <c r="H171" s="364">
        <f>VLOOKUP($M$3,PENILAIAN3!$C$14:$AF$63,16,FALSE)</f>
        <v>0</v>
      </c>
      <c r="I171" s="364">
        <f>VLOOKUP($M$3,PENILAIAN3!$C$14:$AF$63,17,FALSE)</f>
        <v>0</v>
      </c>
      <c r="J171" s="364">
        <f>VLOOKUP($M$3,PENILAIAN3!$C$14:$AF$63,18,FALSE)</f>
        <v>0</v>
      </c>
      <c r="K171" s="2"/>
      <c r="L171" s="176"/>
      <c r="M171" s="145"/>
      <c r="N171" s="145"/>
      <c r="O171" s="145"/>
      <c r="P171" s="145"/>
      <c r="Q171" s="145"/>
      <c r="R171" s="145"/>
      <c r="S171" s="145"/>
      <c r="T171" s="145"/>
      <c r="U171" s="145"/>
      <c r="V171" s="145"/>
      <c r="W171" s="145"/>
      <c r="X171" s="145"/>
      <c r="Y171" s="145"/>
      <c r="Z171" s="145"/>
    </row>
    <row r="172" spans="1:26" x14ac:dyDescent="0.25">
      <c r="A172" s="176"/>
      <c r="B172" s="363"/>
      <c r="C172" s="363"/>
      <c r="D172" s="363"/>
      <c r="E172" s="363"/>
      <c r="F172" s="363"/>
      <c r="G172" s="364"/>
      <c r="H172" s="364"/>
      <c r="I172" s="364"/>
      <c r="J172" s="364"/>
      <c r="K172" s="2"/>
      <c r="L172" s="176"/>
      <c r="M172" s="145"/>
      <c r="N172" s="145"/>
      <c r="O172" s="145"/>
      <c r="P172" s="145"/>
      <c r="Q172" s="145"/>
      <c r="R172" s="145"/>
      <c r="S172" s="145"/>
      <c r="T172" s="145"/>
      <c r="U172" s="145"/>
      <c r="V172" s="145"/>
      <c r="W172" s="145"/>
      <c r="X172" s="145"/>
      <c r="Y172" s="145"/>
      <c r="Z172" s="145"/>
    </row>
    <row r="173" spans="1:26" x14ac:dyDescent="0.25">
      <c r="A173" s="176"/>
      <c r="B173" s="363"/>
      <c r="C173" s="363"/>
      <c r="D173" s="363"/>
      <c r="E173" s="363"/>
      <c r="F173" s="363"/>
      <c r="G173" s="364"/>
      <c r="H173" s="364"/>
      <c r="I173" s="364"/>
      <c r="J173" s="364"/>
      <c r="K173" s="2"/>
      <c r="L173" s="176"/>
      <c r="M173" s="145"/>
      <c r="N173" s="145"/>
      <c r="O173" s="145"/>
      <c r="P173" s="145"/>
      <c r="Q173" s="145"/>
      <c r="R173" s="145"/>
      <c r="S173" s="145"/>
      <c r="T173" s="145"/>
      <c r="U173" s="145"/>
      <c r="V173" s="145"/>
      <c r="W173" s="145"/>
      <c r="X173" s="145"/>
      <c r="Y173" s="145"/>
      <c r="Z173" s="145"/>
    </row>
    <row r="174" spans="1:26" x14ac:dyDescent="0.25">
      <c r="A174" s="176"/>
      <c r="B174" s="363"/>
      <c r="C174" s="363"/>
      <c r="D174" s="363"/>
      <c r="E174" s="363"/>
      <c r="F174" s="363"/>
      <c r="G174" s="364"/>
      <c r="H174" s="364"/>
      <c r="I174" s="364"/>
      <c r="J174" s="364"/>
      <c r="K174" s="2"/>
      <c r="L174" s="176"/>
      <c r="M174" s="145"/>
      <c r="N174" s="145"/>
      <c r="O174" s="145"/>
      <c r="P174" s="145"/>
      <c r="Q174" s="145"/>
      <c r="R174" s="145"/>
      <c r="S174" s="145"/>
      <c r="T174" s="145"/>
      <c r="U174" s="145"/>
      <c r="V174" s="145"/>
      <c r="W174" s="145"/>
      <c r="X174" s="145"/>
      <c r="Y174" s="145"/>
      <c r="Z174" s="145"/>
    </row>
    <row r="175" spans="1:26" x14ac:dyDescent="0.25">
      <c r="A175" s="176"/>
      <c r="B175" s="360">
        <f>PROYEK3!C37</f>
        <v>0</v>
      </c>
      <c r="C175" s="361"/>
      <c r="D175" s="361"/>
      <c r="E175" s="361"/>
      <c r="F175" s="361"/>
      <c r="G175" s="361"/>
      <c r="H175" s="361"/>
      <c r="I175" s="361"/>
      <c r="J175" s="362"/>
      <c r="K175" s="2"/>
      <c r="L175" s="176"/>
      <c r="M175" s="145"/>
      <c r="N175" s="145"/>
      <c r="O175" s="145"/>
      <c r="P175" s="145"/>
      <c r="Q175" s="145"/>
      <c r="R175" s="145"/>
      <c r="S175" s="145"/>
      <c r="T175" s="145"/>
      <c r="U175" s="145"/>
      <c r="V175" s="145"/>
      <c r="W175" s="145"/>
      <c r="X175" s="145"/>
      <c r="Y175" s="145"/>
      <c r="Z175" s="145"/>
    </row>
    <row r="176" spans="1:26" x14ac:dyDescent="0.25">
      <c r="A176" s="176"/>
      <c r="B176" s="363" t="e">
        <f>PROYEK3!K37&amp;"- "&amp;PROYEK3!P37</f>
        <v>#N/A</v>
      </c>
      <c r="C176" s="363"/>
      <c r="D176" s="363"/>
      <c r="E176" s="363"/>
      <c r="F176" s="363"/>
      <c r="G176" s="364">
        <f>VLOOKUP($M$3,PENILAIAN3!$C$14:$AF$63,19,FALSE)</f>
        <v>0</v>
      </c>
      <c r="H176" s="364">
        <f>VLOOKUP($M$3,PENILAIAN3!$C$14:$AF$63,20,FALSE)</f>
        <v>0</v>
      </c>
      <c r="I176" s="364">
        <f>VLOOKUP($M$3,PENILAIAN3!$C$14:$AF$63,21,FALSE)</f>
        <v>0</v>
      </c>
      <c r="J176" s="364">
        <f>VLOOKUP($M$3,PENILAIAN3!$C$14:$AF$63,22,FALSE)</f>
        <v>0</v>
      </c>
      <c r="K176" s="2"/>
      <c r="L176" s="176"/>
      <c r="M176" s="145"/>
      <c r="N176" s="145"/>
      <c r="O176" s="145"/>
      <c r="P176" s="145"/>
      <c r="Q176" s="145"/>
      <c r="R176" s="145"/>
      <c r="S176" s="145"/>
      <c r="T176" s="145"/>
      <c r="U176" s="145"/>
      <c r="V176" s="145"/>
      <c r="W176" s="145"/>
      <c r="X176" s="145"/>
      <c r="Y176" s="145"/>
      <c r="Z176" s="145"/>
    </row>
    <row r="177" spans="1:26" x14ac:dyDescent="0.25">
      <c r="A177" s="176"/>
      <c r="B177" s="363"/>
      <c r="C177" s="363"/>
      <c r="D177" s="363"/>
      <c r="E177" s="363"/>
      <c r="F177" s="363"/>
      <c r="G177" s="364"/>
      <c r="H177" s="364"/>
      <c r="I177" s="364"/>
      <c r="J177" s="364"/>
      <c r="K177" s="2"/>
      <c r="L177" s="176"/>
      <c r="M177" s="145"/>
      <c r="N177" s="145"/>
      <c r="O177" s="145"/>
      <c r="P177" s="145"/>
      <c r="Q177" s="145"/>
      <c r="R177" s="145"/>
      <c r="S177" s="145"/>
      <c r="T177" s="145"/>
      <c r="U177" s="145"/>
      <c r="V177" s="145"/>
      <c r="W177" s="145"/>
      <c r="X177" s="145"/>
      <c r="Y177" s="145"/>
      <c r="Z177" s="145"/>
    </row>
    <row r="178" spans="1:26" x14ac:dyDescent="0.25">
      <c r="A178" s="176"/>
      <c r="B178" s="363"/>
      <c r="C178" s="363"/>
      <c r="D178" s="363"/>
      <c r="E178" s="363"/>
      <c r="F178" s="363"/>
      <c r="G178" s="364"/>
      <c r="H178" s="364"/>
      <c r="I178" s="364"/>
      <c r="J178" s="364"/>
      <c r="K178" s="2"/>
      <c r="L178" s="176"/>
      <c r="M178" s="145"/>
      <c r="N178" s="145"/>
      <c r="O178" s="145"/>
      <c r="P178" s="145"/>
      <c r="Q178" s="145"/>
      <c r="R178" s="145"/>
      <c r="S178" s="145"/>
      <c r="T178" s="145"/>
      <c r="U178" s="145"/>
      <c r="V178" s="145"/>
      <c r="W178" s="145"/>
      <c r="X178" s="145"/>
      <c r="Y178" s="145"/>
      <c r="Z178" s="145"/>
    </row>
    <row r="179" spans="1:26" x14ac:dyDescent="0.25">
      <c r="A179" s="176"/>
      <c r="B179" s="363"/>
      <c r="C179" s="363"/>
      <c r="D179" s="363"/>
      <c r="E179" s="363"/>
      <c r="F179" s="363"/>
      <c r="G179" s="364"/>
      <c r="H179" s="364"/>
      <c r="I179" s="364"/>
      <c r="J179" s="364"/>
      <c r="K179" s="2"/>
      <c r="L179" s="176"/>
      <c r="M179" s="145"/>
      <c r="N179" s="145"/>
      <c r="O179" s="145"/>
      <c r="P179" s="145"/>
      <c r="Q179" s="145"/>
      <c r="R179" s="145"/>
      <c r="S179" s="145"/>
      <c r="T179" s="145"/>
      <c r="U179" s="145"/>
      <c r="V179" s="145"/>
      <c r="W179" s="145"/>
      <c r="X179" s="145"/>
      <c r="Y179" s="145"/>
      <c r="Z179" s="145"/>
    </row>
    <row r="180" spans="1:26" x14ac:dyDescent="0.25">
      <c r="A180" s="176"/>
      <c r="B180" s="360">
        <f>PROYEK3!C43</f>
        <v>0</v>
      </c>
      <c r="C180" s="361"/>
      <c r="D180" s="361"/>
      <c r="E180" s="361"/>
      <c r="F180" s="361"/>
      <c r="G180" s="361"/>
      <c r="H180" s="361"/>
      <c r="I180" s="361"/>
      <c r="J180" s="362"/>
      <c r="K180" s="2"/>
      <c r="L180" s="176"/>
      <c r="M180" s="145"/>
      <c r="N180" s="145"/>
      <c r="O180" s="145"/>
      <c r="P180" s="145"/>
      <c r="Q180" s="145"/>
      <c r="R180" s="145"/>
      <c r="S180" s="145"/>
      <c r="T180" s="145"/>
      <c r="U180" s="145"/>
      <c r="V180" s="145"/>
      <c r="W180" s="145"/>
      <c r="X180" s="145"/>
      <c r="Y180" s="145"/>
      <c r="Z180" s="145"/>
    </row>
    <row r="181" spans="1:26" x14ac:dyDescent="0.25">
      <c r="A181" s="176"/>
      <c r="B181" s="363" t="e">
        <f>PROYEK3!K43&amp;"- "&amp;PROYEK3!P43</f>
        <v>#N/A</v>
      </c>
      <c r="C181" s="363"/>
      <c r="D181" s="363"/>
      <c r="E181" s="363"/>
      <c r="F181" s="363"/>
      <c r="G181" s="364">
        <f>VLOOKUP($M$3,PENILAIAN3!$C$14:$AF$63,23,FALSE)</f>
        <v>0</v>
      </c>
      <c r="H181" s="364">
        <f>VLOOKUP($M$3,PENILAIAN3!$C$14:$AF$63,24,FALSE)</f>
        <v>0</v>
      </c>
      <c r="I181" s="364">
        <f>VLOOKUP($M$3,PENILAIAN3!$C$14:$AF$63,25,FALSE)</f>
        <v>0</v>
      </c>
      <c r="J181" s="364">
        <f>VLOOKUP($M$3,PENILAIAN3!$C$14:$AF$63,26,FALSE)</f>
        <v>0</v>
      </c>
      <c r="K181" s="2"/>
      <c r="L181" s="176"/>
      <c r="M181" s="145"/>
      <c r="N181" s="145"/>
      <c r="O181" s="145"/>
      <c r="P181" s="145"/>
      <c r="Q181" s="145"/>
      <c r="R181" s="145"/>
      <c r="S181" s="145"/>
      <c r="T181" s="145"/>
      <c r="U181" s="145"/>
      <c r="V181" s="145"/>
      <c r="W181" s="145"/>
      <c r="X181" s="145"/>
      <c r="Y181" s="145"/>
      <c r="Z181" s="145"/>
    </row>
    <row r="182" spans="1:26" x14ac:dyDescent="0.25">
      <c r="A182" s="176"/>
      <c r="B182" s="363"/>
      <c r="C182" s="363"/>
      <c r="D182" s="363"/>
      <c r="E182" s="363"/>
      <c r="F182" s="363"/>
      <c r="G182" s="364"/>
      <c r="H182" s="364"/>
      <c r="I182" s="364"/>
      <c r="J182" s="364"/>
      <c r="K182" s="2"/>
      <c r="L182" s="176"/>
      <c r="M182" s="145"/>
      <c r="N182" s="145"/>
      <c r="O182" s="145"/>
      <c r="P182" s="145"/>
      <c r="Q182" s="145"/>
      <c r="R182" s="145"/>
      <c r="S182" s="145"/>
      <c r="T182" s="145"/>
      <c r="U182" s="145"/>
      <c r="V182" s="145"/>
      <c r="W182" s="145"/>
      <c r="X182" s="145"/>
      <c r="Y182" s="145"/>
      <c r="Z182" s="145"/>
    </row>
    <row r="183" spans="1:26" x14ac:dyDescent="0.25">
      <c r="A183" s="176"/>
      <c r="B183" s="363"/>
      <c r="C183" s="363"/>
      <c r="D183" s="363"/>
      <c r="E183" s="363"/>
      <c r="F183" s="363"/>
      <c r="G183" s="364"/>
      <c r="H183" s="364"/>
      <c r="I183" s="364"/>
      <c r="J183" s="364"/>
      <c r="K183" s="2"/>
      <c r="L183" s="176"/>
      <c r="M183" s="145"/>
      <c r="N183" s="145"/>
      <c r="O183" s="145"/>
      <c r="P183" s="145"/>
      <c r="Q183" s="145"/>
      <c r="R183" s="145"/>
      <c r="S183" s="145"/>
      <c r="T183" s="145"/>
      <c r="U183" s="145"/>
      <c r="V183" s="145"/>
      <c r="W183" s="145"/>
      <c r="X183" s="145"/>
      <c r="Y183" s="145"/>
      <c r="Z183" s="145"/>
    </row>
    <row r="184" spans="1:26" x14ac:dyDescent="0.25">
      <c r="A184" s="176"/>
      <c r="B184" s="363"/>
      <c r="C184" s="363"/>
      <c r="D184" s="363"/>
      <c r="E184" s="363"/>
      <c r="F184" s="363"/>
      <c r="G184" s="364"/>
      <c r="H184" s="364"/>
      <c r="I184" s="364"/>
      <c r="J184" s="364"/>
      <c r="K184" s="2"/>
      <c r="L184" s="176"/>
      <c r="M184" s="145"/>
      <c r="N184" s="145"/>
      <c r="O184" s="145"/>
      <c r="P184" s="145"/>
      <c r="Q184" s="145"/>
      <c r="R184" s="145"/>
      <c r="S184" s="145"/>
      <c r="T184" s="145"/>
      <c r="U184" s="145"/>
      <c r="V184" s="145"/>
      <c r="W184" s="145"/>
      <c r="X184" s="145"/>
      <c r="Y184" s="145"/>
      <c r="Z184" s="145"/>
    </row>
    <row r="185" spans="1:26" x14ac:dyDescent="0.25">
      <c r="A185" s="176"/>
      <c r="B185" s="360">
        <f>PROYEK3!C49</f>
        <v>0</v>
      </c>
      <c r="C185" s="361"/>
      <c r="D185" s="361"/>
      <c r="E185" s="361"/>
      <c r="F185" s="361"/>
      <c r="G185" s="361"/>
      <c r="H185" s="361"/>
      <c r="I185" s="361"/>
      <c r="J185" s="362"/>
      <c r="K185" s="2"/>
      <c r="L185" s="176"/>
      <c r="M185" s="145"/>
      <c r="N185" s="145"/>
      <c r="O185" s="145"/>
      <c r="P185" s="145"/>
      <c r="Q185" s="145"/>
      <c r="R185" s="145"/>
      <c r="S185" s="145"/>
      <c r="T185" s="145"/>
      <c r="U185" s="145"/>
      <c r="V185" s="145"/>
      <c r="W185" s="145"/>
      <c r="X185" s="145"/>
      <c r="Y185" s="145"/>
      <c r="Z185" s="145"/>
    </row>
    <row r="186" spans="1:26" x14ac:dyDescent="0.25">
      <c r="A186" s="176"/>
      <c r="B186" s="363" t="e">
        <f>PROYEK3!K49&amp;"- "&amp;PROYEK3!P49</f>
        <v>#N/A</v>
      </c>
      <c r="C186" s="363"/>
      <c r="D186" s="363"/>
      <c r="E186" s="363"/>
      <c r="F186" s="363"/>
      <c r="G186" s="364">
        <f>VLOOKUP($M$3,PENILAIAN3!$C$14:$AF$63,27,FALSE)</f>
        <v>0</v>
      </c>
      <c r="H186" s="364">
        <f>VLOOKUP($M$3,PENILAIAN3!$C$14:$AF$63,28,FALSE)</f>
        <v>0</v>
      </c>
      <c r="I186" s="364">
        <f>VLOOKUP($M$3,PENILAIAN3!$C$14:$AF$63,29,FALSE)</f>
        <v>0</v>
      </c>
      <c r="J186" s="364">
        <f>VLOOKUP($M$3,PENILAIAN3!$C$14:$AF$63,30,FALSE)</f>
        <v>0</v>
      </c>
      <c r="K186" s="2"/>
      <c r="L186" s="176"/>
      <c r="M186" s="145"/>
      <c r="N186" s="145"/>
      <c r="O186" s="145"/>
      <c r="P186" s="145"/>
      <c r="Q186" s="145"/>
      <c r="R186" s="145"/>
      <c r="S186" s="145"/>
      <c r="T186" s="145"/>
      <c r="U186" s="145"/>
      <c r="V186" s="145"/>
      <c r="W186" s="145"/>
      <c r="X186" s="145"/>
      <c r="Y186" s="145"/>
      <c r="Z186" s="145"/>
    </row>
    <row r="187" spans="1:26" x14ac:dyDescent="0.25">
      <c r="A187" s="176"/>
      <c r="B187" s="363"/>
      <c r="C187" s="363"/>
      <c r="D187" s="363"/>
      <c r="E187" s="363"/>
      <c r="F187" s="363"/>
      <c r="G187" s="364"/>
      <c r="H187" s="364"/>
      <c r="I187" s="364"/>
      <c r="J187" s="364"/>
      <c r="K187" s="2"/>
      <c r="L187" s="176"/>
      <c r="M187" s="145"/>
      <c r="N187" s="145"/>
      <c r="O187" s="145"/>
      <c r="P187" s="145"/>
      <c r="Q187" s="145"/>
      <c r="R187" s="145"/>
      <c r="S187" s="145"/>
      <c r="T187" s="145"/>
      <c r="U187" s="145"/>
      <c r="V187" s="145"/>
      <c r="W187" s="145"/>
      <c r="X187" s="145"/>
      <c r="Y187" s="145"/>
      <c r="Z187" s="145"/>
    </row>
    <row r="188" spans="1:26" x14ac:dyDescent="0.25">
      <c r="A188" s="176"/>
      <c r="B188" s="363"/>
      <c r="C188" s="363"/>
      <c r="D188" s="363"/>
      <c r="E188" s="363"/>
      <c r="F188" s="363"/>
      <c r="G188" s="364"/>
      <c r="H188" s="364"/>
      <c r="I188" s="364"/>
      <c r="J188" s="364"/>
      <c r="K188" s="2"/>
      <c r="L188" s="176"/>
      <c r="M188" s="145"/>
      <c r="N188" s="145"/>
      <c r="O188" s="145"/>
      <c r="P188" s="145"/>
      <c r="Q188" s="145"/>
      <c r="R188" s="145"/>
      <c r="S188" s="145"/>
      <c r="T188" s="145"/>
      <c r="U188" s="145"/>
      <c r="V188" s="145"/>
      <c r="W188" s="145"/>
      <c r="X188" s="145"/>
      <c r="Y188" s="145"/>
      <c r="Z188" s="145"/>
    </row>
    <row r="189" spans="1:26" x14ac:dyDescent="0.25">
      <c r="A189" s="176"/>
      <c r="B189" s="363"/>
      <c r="C189" s="363"/>
      <c r="D189" s="363"/>
      <c r="E189" s="363"/>
      <c r="F189" s="363"/>
      <c r="G189" s="364"/>
      <c r="H189" s="364"/>
      <c r="I189" s="364"/>
      <c r="J189" s="364"/>
      <c r="K189" s="2"/>
      <c r="L189" s="176"/>
      <c r="M189" s="145"/>
      <c r="N189" s="145"/>
      <c r="O189" s="145"/>
      <c r="P189" s="145"/>
      <c r="Q189" s="145"/>
      <c r="R189" s="145"/>
      <c r="S189" s="145"/>
      <c r="T189" s="145"/>
      <c r="U189" s="145"/>
      <c r="V189" s="145"/>
      <c r="W189" s="145"/>
      <c r="X189" s="145"/>
      <c r="Y189" s="145"/>
      <c r="Z189" s="145"/>
    </row>
    <row r="190" spans="1:26" x14ac:dyDescent="0.25">
      <c r="A190" s="176"/>
      <c r="B190" s="2"/>
      <c r="C190" s="2"/>
      <c r="D190" s="2"/>
      <c r="E190" s="2"/>
      <c r="F190" s="2"/>
      <c r="G190" s="2"/>
      <c r="H190" s="2"/>
      <c r="I190" s="2"/>
      <c r="J190" s="2"/>
      <c r="K190" s="2"/>
      <c r="L190" s="176"/>
      <c r="M190" s="145"/>
      <c r="N190" s="145"/>
      <c r="O190" s="145"/>
      <c r="P190" s="145"/>
      <c r="Q190" s="145"/>
      <c r="R190" s="145"/>
      <c r="S190" s="145"/>
      <c r="T190" s="145"/>
      <c r="U190" s="145"/>
      <c r="V190" s="145"/>
      <c r="W190" s="145"/>
      <c r="X190" s="145"/>
      <c r="Y190" s="145"/>
      <c r="Z190" s="145"/>
    </row>
    <row r="191" spans="1:26" x14ac:dyDescent="0.25">
      <c r="A191" s="176"/>
      <c r="B191" s="77" t="s">
        <v>506</v>
      </c>
      <c r="C191" s="2"/>
      <c r="D191" s="2"/>
      <c r="E191" s="2"/>
      <c r="F191" s="2"/>
      <c r="G191" s="2"/>
      <c r="H191" s="2"/>
      <c r="I191" s="2"/>
      <c r="J191" s="2"/>
      <c r="K191" s="2"/>
      <c r="L191" s="176"/>
      <c r="M191" s="145"/>
      <c r="N191" s="145"/>
      <c r="O191" s="145"/>
      <c r="P191" s="145"/>
      <c r="Q191" s="145"/>
      <c r="R191" s="145"/>
      <c r="S191" s="145"/>
      <c r="T191" s="145"/>
      <c r="U191" s="145"/>
      <c r="V191" s="145"/>
      <c r="W191" s="145"/>
      <c r="X191" s="145"/>
      <c r="Y191" s="145"/>
      <c r="Z191" s="145"/>
    </row>
    <row r="192" spans="1:26" x14ac:dyDescent="0.25">
      <c r="A192" s="176"/>
      <c r="B192" s="2"/>
      <c r="C192" s="2"/>
      <c r="D192" s="2"/>
      <c r="E192" s="2"/>
      <c r="F192" s="2"/>
      <c r="G192" s="2"/>
      <c r="H192" s="2"/>
      <c r="I192" s="2"/>
      <c r="J192" s="2"/>
      <c r="K192" s="2"/>
      <c r="L192" s="176"/>
      <c r="M192" s="145"/>
      <c r="N192" s="145"/>
      <c r="O192" s="145"/>
      <c r="P192" s="145"/>
      <c r="Q192" s="145"/>
      <c r="R192" s="145"/>
      <c r="S192" s="145"/>
      <c r="T192" s="145"/>
      <c r="U192" s="145"/>
      <c r="V192" s="145"/>
      <c r="W192" s="145"/>
      <c r="X192" s="145"/>
      <c r="Y192" s="145"/>
      <c r="Z192" s="145"/>
    </row>
    <row r="193" spans="1:26" x14ac:dyDescent="0.25">
      <c r="A193" s="176"/>
      <c r="B193" s="368">
        <f>VLOOKUP($M$3,'CAT1'!$C$13:$G$62,5,FALSE)</f>
        <v>0</v>
      </c>
      <c r="C193" s="369"/>
      <c r="D193" s="369"/>
      <c r="E193" s="369"/>
      <c r="F193" s="369"/>
      <c r="G193" s="369"/>
      <c r="H193" s="369"/>
      <c r="I193" s="369"/>
      <c r="J193" s="370"/>
      <c r="K193" s="2"/>
      <c r="L193" s="176"/>
      <c r="M193" s="145"/>
      <c r="N193" s="145"/>
      <c r="O193" s="145"/>
      <c r="P193" s="145"/>
      <c r="Q193" s="145"/>
      <c r="R193" s="145"/>
      <c r="S193" s="145"/>
      <c r="T193" s="145"/>
      <c r="U193" s="145"/>
      <c r="V193" s="145"/>
      <c r="W193" s="145"/>
      <c r="X193" s="145"/>
      <c r="Y193" s="145"/>
      <c r="Z193" s="145"/>
    </row>
    <row r="194" spans="1:26" x14ac:dyDescent="0.25">
      <c r="A194" s="176"/>
      <c r="B194" s="371"/>
      <c r="C194" s="372"/>
      <c r="D194" s="372"/>
      <c r="E194" s="372"/>
      <c r="F194" s="372"/>
      <c r="G194" s="372"/>
      <c r="H194" s="372"/>
      <c r="I194" s="372"/>
      <c r="J194" s="373"/>
      <c r="K194" s="2"/>
      <c r="L194" s="176"/>
      <c r="M194" s="145"/>
      <c r="N194" s="145"/>
      <c r="O194" s="145"/>
      <c r="P194" s="145"/>
      <c r="Q194" s="145"/>
      <c r="R194" s="145"/>
      <c r="S194" s="145"/>
      <c r="T194" s="145"/>
      <c r="U194" s="145"/>
      <c r="V194" s="145"/>
      <c r="W194" s="145"/>
      <c r="X194" s="145"/>
      <c r="Y194" s="145"/>
      <c r="Z194" s="145"/>
    </row>
    <row r="195" spans="1:26" x14ac:dyDescent="0.25">
      <c r="A195" s="176"/>
      <c r="B195" s="371"/>
      <c r="C195" s="372"/>
      <c r="D195" s="372"/>
      <c r="E195" s="372"/>
      <c r="F195" s="372"/>
      <c r="G195" s="372"/>
      <c r="H195" s="372"/>
      <c r="I195" s="372"/>
      <c r="J195" s="373"/>
      <c r="K195" s="2"/>
      <c r="L195" s="176"/>
      <c r="M195" s="145"/>
      <c r="N195" s="145"/>
      <c r="O195" s="145"/>
      <c r="P195" s="145"/>
      <c r="Q195" s="145"/>
      <c r="R195" s="145"/>
      <c r="S195" s="145"/>
      <c r="T195" s="145"/>
      <c r="U195" s="145"/>
      <c r="V195" s="145"/>
      <c r="W195" s="145"/>
      <c r="X195" s="145"/>
      <c r="Y195" s="145"/>
      <c r="Z195" s="145"/>
    </row>
    <row r="196" spans="1:26" x14ac:dyDescent="0.25">
      <c r="A196" s="176"/>
      <c r="B196" s="371"/>
      <c r="C196" s="372"/>
      <c r="D196" s="372"/>
      <c r="E196" s="372"/>
      <c r="F196" s="372"/>
      <c r="G196" s="372"/>
      <c r="H196" s="372"/>
      <c r="I196" s="372"/>
      <c r="J196" s="373"/>
      <c r="K196" s="2"/>
      <c r="L196" s="176"/>
      <c r="M196" s="145"/>
      <c r="N196" s="145"/>
      <c r="O196" s="145"/>
      <c r="P196" s="145"/>
      <c r="Q196" s="145"/>
      <c r="R196" s="145"/>
      <c r="S196" s="145"/>
      <c r="T196" s="145"/>
      <c r="U196" s="145"/>
      <c r="V196" s="145"/>
      <c r="W196" s="145"/>
      <c r="X196" s="145"/>
      <c r="Y196" s="145"/>
      <c r="Z196" s="145"/>
    </row>
    <row r="197" spans="1:26" x14ac:dyDescent="0.25">
      <c r="A197" s="176"/>
      <c r="B197" s="371"/>
      <c r="C197" s="372"/>
      <c r="D197" s="372"/>
      <c r="E197" s="372"/>
      <c r="F197" s="372"/>
      <c r="G197" s="372"/>
      <c r="H197" s="372"/>
      <c r="I197" s="372"/>
      <c r="J197" s="373"/>
      <c r="K197" s="2"/>
      <c r="L197" s="176"/>
      <c r="M197" s="145"/>
      <c r="N197" s="145"/>
      <c r="O197" s="145"/>
      <c r="P197" s="145"/>
      <c r="Q197" s="145"/>
      <c r="R197" s="145"/>
      <c r="S197" s="145"/>
      <c r="T197" s="145"/>
      <c r="U197" s="145"/>
      <c r="V197" s="145"/>
      <c r="W197" s="145"/>
      <c r="X197" s="145"/>
      <c r="Y197" s="145"/>
      <c r="Z197" s="145"/>
    </row>
    <row r="198" spans="1:26" x14ac:dyDescent="0.25">
      <c r="A198" s="176"/>
      <c r="B198" s="371"/>
      <c r="C198" s="372"/>
      <c r="D198" s="372"/>
      <c r="E198" s="372"/>
      <c r="F198" s="372"/>
      <c r="G198" s="372"/>
      <c r="H198" s="372"/>
      <c r="I198" s="372"/>
      <c r="J198" s="373"/>
      <c r="K198" s="2"/>
      <c r="L198" s="176"/>
      <c r="M198" s="145"/>
      <c r="N198" s="145"/>
      <c r="O198" s="145"/>
      <c r="P198" s="145"/>
      <c r="Q198" s="145"/>
      <c r="R198" s="145"/>
      <c r="S198" s="145"/>
      <c r="T198" s="145"/>
      <c r="U198" s="145"/>
      <c r="V198" s="145"/>
      <c r="W198" s="145"/>
      <c r="X198" s="145"/>
      <c r="Y198" s="145"/>
      <c r="Z198" s="145"/>
    </row>
    <row r="199" spans="1:26" x14ac:dyDescent="0.25">
      <c r="A199" s="176"/>
      <c r="B199" s="371"/>
      <c r="C199" s="372"/>
      <c r="D199" s="372"/>
      <c r="E199" s="372"/>
      <c r="F199" s="372"/>
      <c r="G199" s="372"/>
      <c r="H199" s="372"/>
      <c r="I199" s="372"/>
      <c r="J199" s="373"/>
      <c r="K199" s="2"/>
      <c r="L199" s="176"/>
      <c r="M199" s="145"/>
      <c r="N199" s="145"/>
      <c r="O199" s="145"/>
      <c r="P199" s="145"/>
      <c r="Q199" s="145"/>
      <c r="R199" s="145"/>
      <c r="S199" s="145"/>
      <c r="T199" s="145"/>
      <c r="U199" s="145"/>
      <c r="V199" s="145"/>
      <c r="W199" s="145"/>
      <c r="X199" s="145"/>
      <c r="Y199" s="145"/>
      <c r="Z199" s="145"/>
    </row>
    <row r="200" spans="1:26" ht="16.5" customHeight="1" x14ac:dyDescent="0.25">
      <c r="A200" s="176"/>
      <c r="B200" s="377"/>
      <c r="C200" s="378"/>
      <c r="D200" s="378"/>
      <c r="E200" s="378"/>
      <c r="F200" s="378"/>
      <c r="G200" s="378"/>
      <c r="H200" s="378"/>
      <c r="I200" s="378"/>
      <c r="J200" s="379"/>
      <c r="K200" s="2"/>
      <c r="L200" s="176"/>
      <c r="M200" s="145"/>
      <c r="N200" s="145"/>
      <c r="O200" s="145"/>
      <c r="P200" s="145"/>
      <c r="Q200" s="145"/>
      <c r="R200" s="145"/>
      <c r="S200" s="145"/>
      <c r="T200" s="145"/>
      <c r="U200" s="145"/>
      <c r="V200" s="145"/>
      <c r="W200" s="145"/>
      <c r="X200" s="145"/>
      <c r="Y200" s="145"/>
      <c r="Z200" s="145"/>
    </row>
    <row r="201" spans="1:26" ht="16.5" customHeight="1" x14ac:dyDescent="0.25">
      <c r="A201" s="176"/>
      <c r="B201" s="221"/>
      <c r="C201" s="221"/>
      <c r="D201" s="221"/>
      <c r="E201" s="221"/>
      <c r="F201" s="221"/>
      <c r="G201" s="221"/>
      <c r="H201" s="221"/>
      <c r="I201" s="221"/>
      <c r="J201" s="221"/>
      <c r="K201" s="2"/>
      <c r="L201" s="176"/>
      <c r="M201" s="145"/>
      <c r="N201" s="145"/>
      <c r="O201" s="145"/>
      <c r="P201" s="145"/>
      <c r="Q201" s="145"/>
      <c r="R201" s="145"/>
      <c r="S201" s="145"/>
      <c r="T201" s="145"/>
      <c r="U201" s="145"/>
      <c r="V201" s="145"/>
      <c r="W201" s="145"/>
      <c r="X201" s="145"/>
      <c r="Y201" s="145"/>
      <c r="Z201" s="145"/>
    </row>
    <row r="202" spans="1:26" ht="16.5" customHeight="1" x14ac:dyDescent="0.25">
      <c r="A202" s="176"/>
      <c r="B202" s="221"/>
      <c r="C202" s="221"/>
      <c r="D202" s="221"/>
      <c r="E202" s="221"/>
      <c r="F202" s="221"/>
      <c r="G202" s="221"/>
      <c r="H202" s="221"/>
      <c r="I202" s="221"/>
      <c r="J202" s="221"/>
      <c r="K202" s="2"/>
      <c r="L202" s="176"/>
      <c r="M202" s="145"/>
      <c r="N202" s="145"/>
      <c r="O202" s="145"/>
      <c r="P202" s="145"/>
      <c r="Q202" s="145"/>
      <c r="R202" s="145"/>
      <c r="S202" s="145"/>
      <c r="T202" s="145"/>
      <c r="U202" s="145"/>
      <c r="V202" s="145"/>
      <c r="W202" s="145"/>
      <c r="X202" s="145"/>
      <c r="Y202" s="145"/>
      <c r="Z202" s="145"/>
    </row>
    <row r="203" spans="1:26" ht="28.5" customHeight="1" x14ac:dyDescent="0.25">
      <c r="A203" s="176"/>
      <c r="B203" s="411" t="s">
        <v>524</v>
      </c>
      <c r="C203" s="411"/>
      <c r="D203" s="411"/>
      <c r="E203" s="411"/>
      <c r="F203" s="411"/>
      <c r="G203" s="411"/>
      <c r="H203" s="411"/>
      <c r="I203" s="411"/>
      <c r="J203" s="411"/>
      <c r="K203" s="411"/>
      <c r="L203" s="176"/>
      <c r="M203" s="145"/>
      <c r="N203" s="145"/>
      <c r="O203" s="145"/>
      <c r="P203" s="145"/>
      <c r="Q203" s="145"/>
      <c r="R203" s="145"/>
      <c r="S203" s="145"/>
      <c r="T203" s="145"/>
      <c r="U203" s="145"/>
      <c r="V203" s="145"/>
      <c r="W203" s="145"/>
      <c r="X203" s="145"/>
      <c r="Y203" s="145"/>
      <c r="Z203" s="145"/>
    </row>
    <row r="204" spans="1:26" ht="29.25" customHeight="1" thickBot="1" x14ac:dyDescent="0.3">
      <c r="A204" s="176"/>
      <c r="B204" s="2"/>
      <c r="C204" s="2"/>
      <c r="D204" s="2"/>
      <c r="E204" s="2"/>
      <c r="F204" s="2"/>
      <c r="G204" s="2"/>
      <c r="H204" s="2"/>
      <c r="I204" s="2"/>
      <c r="J204" s="2"/>
      <c r="K204" s="2"/>
      <c r="L204" s="176"/>
      <c r="M204" s="145"/>
      <c r="N204" s="145"/>
      <c r="O204" s="145"/>
      <c r="P204" s="145"/>
      <c r="Q204" s="145"/>
      <c r="R204" s="145"/>
      <c r="S204" s="145"/>
      <c r="T204" s="145"/>
      <c r="U204" s="145"/>
      <c r="V204" s="145"/>
      <c r="W204" s="145"/>
      <c r="X204" s="145"/>
      <c r="Y204" s="145"/>
      <c r="Z204" s="145"/>
    </row>
    <row r="205" spans="1:26" ht="19.5" customHeight="1" x14ac:dyDescent="0.25">
      <c r="A205" s="176"/>
      <c r="B205" s="2"/>
      <c r="C205" s="405" t="s">
        <v>460</v>
      </c>
      <c r="D205" s="406"/>
      <c r="E205" s="405" t="s">
        <v>461</v>
      </c>
      <c r="F205" s="406"/>
      <c r="G205" s="405" t="s">
        <v>462</v>
      </c>
      <c r="H205" s="406"/>
      <c r="I205" s="405" t="s">
        <v>463</v>
      </c>
      <c r="J205" s="406"/>
      <c r="K205" s="2"/>
      <c r="L205" s="176"/>
      <c r="M205" s="145"/>
      <c r="N205" s="145"/>
      <c r="O205" s="145"/>
      <c r="P205" s="145"/>
      <c r="Q205" s="145"/>
      <c r="R205" s="145"/>
      <c r="S205" s="145"/>
      <c r="T205" s="145"/>
      <c r="U205" s="145"/>
      <c r="V205" s="145"/>
      <c r="W205" s="145"/>
      <c r="X205" s="145"/>
      <c r="Y205" s="145"/>
      <c r="Z205" s="145"/>
    </row>
    <row r="206" spans="1:26" ht="43.5" customHeight="1" x14ac:dyDescent="0.25">
      <c r="A206" s="176"/>
      <c r="B206" s="2"/>
      <c r="C206" s="407" t="s">
        <v>470</v>
      </c>
      <c r="D206" s="408"/>
      <c r="E206" s="407" t="s">
        <v>471</v>
      </c>
      <c r="F206" s="408"/>
      <c r="G206" s="407" t="s">
        <v>502</v>
      </c>
      <c r="H206" s="408"/>
      <c r="I206" s="407" t="s">
        <v>473</v>
      </c>
      <c r="J206" s="408"/>
      <c r="K206" s="2"/>
      <c r="L206" s="176"/>
      <c r="M206" s="145"/>
      <c r="N206" s="145"/>
      <c r="O206" s="145"/>
      <c r="P206" s="145"/>
      <c r="Q206" s="145"/>
      <c r="R206" s="145"/>
      <c r="S206" s="145"/>
      <c r="T206" s="145"/>
      <c r="U206" s="145"/>
      <c r="V206" s="145"/>
      <c r="W206" s="145"/>
      <c r="X206" s="145"/>
      <c r="Y206" s="145"/>
      <c r="Z206" s="145"/>
    </row>
    <row r="207" spans="1:26" ht="89.25" customHeight="1" thickBot="1" x14ac:dyDescent="0.3">
      <c r="A207" s="176"/>
      <c r="B207" s="2"/>
      <c r="C207" s="409" t="s">
        <v>500</v>
      </c>
      <c r="D207" s="410"/>
      <c r="E207" s="409" t="s">
        <v>501</v>
      </c>
      <c r="F207" s="410"/>
      <c r="G207" s="409" t="s">
        <v>503</v>
      </c>
      <c r="H207" s="410"/>
      <c r="I207" s="409" t="s">
        <v>504</v>
      </c>
      <c r="J207" s="410"/>
      <c r="K207" s="2"/>
      <c r="L207" s="176"/>
      <c r="M207" s="145"/>
      <c r="N207" s="145"/>
      <c r="O207" s="145"/>
      <c r="P207" s="145"/>
      <c r="Q207" s="145"/>
      <c r="R207" s="145"/>
      <c r="S207" s="145"/>
      <c r="T207" s="145"/>
      <c r="U207" s="145"/>
      <c r="V207" s="145"/>
      <c r="W207" s="145"/>
      <c r="X207" s="145"/>
      <c r="Y207" s="145"/>
      <c r="Z207" s="145"/>
    </row>
    <row r="208" spans="1:26" x14ac:dyDescent="0.25">
      <c r="A208" s="176"/>
      <c r="B208" s="2"/>
      <c r="C208" s="2"/>
      <c r="D208" s="2"/>
      <c r="E208" s="2"/>
      <c r="F208" s="2"/>
      <c r="G208" s="2"/>
      <c r="H208" s="2"/>
      <c r="I208" s="2"/>
      <c r="J208" s="2"/>
      <c r="K208" s="2"/>
      <c r="L208" s="176"/>
      <c r="M208" s="145"/>
      <c r="N208" s="145"/>
      <c r="O208" s="145"/>
      <c r="P208" s="145"/>
      <c r="Q208" s="145"/>
      <c r="R208" s="145"/>
      <c r="S208" s="145"/>
      <c r="T208" s="145"/>
      <c r="U208" s="145"/>
      <c r="V208" s="145"/>
      <c r="W208" s="145"/>
      <c r="X208" s="145"/>
      <c r="Y208" s="145"/>
      <c r="Z208" s="145"/>
    </row>
    <row r="209" spans="1:26" x14ac:dyDescent="0.25">
      <c r="A209" s="176"/>
      <c r="B209" s="2"/>
      <c r="C209" s="2"/>
      <c r="D209" s="2"/>
      <c r="E209" s="2"/>
      <c r="F209" s="2"/>
      <c r="G209" s="2"/>
      <c r="H209" s="2"/>
      <c r="I209" s="2"/>
      <c r="J209" s="2"/>
      <c r="K209" s="2"/>
      <c r="L209" s="176"/>
      <c r="M209" s="145"/>
      <c r="N209" s="145"/>
      <c r="O209" s="145"/>
      <c r="P209" s="145"/>
      <c r="Q209" s="145"/>
      <c r="R209" s="145"/>
      <c r="S209" s="145"/>
      <c r="T209" s="145"/>
      <c r="U209" s="145"/>
      <c r="V209" s="145"/>
      <c r="W209" s="145"/>
      <c r="X209" s="145"/>
      <c r="Y209" s="145"/>
      <c r="Z209" s="145"/>
    </row>
    <row r="210" spans="1:26" x14ac:dyDescent="0.25">
      <c r="A210" s="176"/>
      <c r="B210" s="2"/>
      <c r="C210" s="2"/>
      <c r="D210" s="2"/>
      <c r="E210" s="2"/>
      <c r="F210" s="2"/>
      <c r="G210" s="2"/>
      <c r="H210" s="2"/>
      <c r="I210" s="2"/>
      <c r="J210" s="2"/>
      <c r="K210" s="2"/>
      <c r="L210" s="176"/>
      <c r="M210" s="145"/>
      <c r="N210" s="145"/>
      <c r="O210" s="145"/>
      <c r="P210" s="145"/>
      <c r="Q210" s="145"/>
      <c r="R210" s="145"/>
      <c r="S210" s="145"/>
      <c r="T210" s="145"/>
      <c r="U210" s="145"/>
      <c r="V210" s="145"/>
      <c r="W210" s="145"/>
      <c r="X210" s="145"/>
      <c r="Y210" s="145"/>
      <c r="Z210" s="145"/>
    </row>
    <row r="211" spans="1:26" x14ac:dyDescent="0.25">
      <c r="A211" s="176"/>
      <c r="B211" s="2"/>
      <c r="C211" s="2"/>
      <c r="D211" s="2"/>
      <c r="E211" s="2"/>
      <c r="F211" s="2"/>
      <c r="G211" s="2"/>
      <c r="H211" s="2"/>
      <c r="I211" s="2"/>
      <c r="J211" s="2"/>
      <c r="K211" s="2"/>
      <c r="L211" s="176"/>
      <c r="M211" s="145"/>
      <c r="N211" s="145"/>
      <c r="O211" s="145"/>
      <c r="P211" s="145"/>
      <c r="Q211" s="145"/>
      <c r="R211" s="145"/>
      <c r="S211" s="145"/>
      <c r="T211" s="145"/>
      <c r="U211" s="145"/>
      <c r="V211" s="145"/>
      <c r="W211" s="145"/>
      <c r="X211" s="145"/>
      <c r="Y211" s="145"/>
      <c r="Z211" s="145"/>
    </row>
    <row r="212" spans="1:26" x14ac:dyDescent="0.25">
      <c r="A212" s="176"/>
      <c r="B212" s="2"/>
      <c r="C212" s="2"/>
      <c r="D212" s="2"/>
      <c r="E212" s="2"/>
      <c r="F212" s="2"/>
      <c r="G212" s="2"/>
      <c r="H212" s="2"/>
      <c r="I212" s="2"/>
      <c r="J212" s="2"/>
      <c r="K212" s="2"/>
      <c r="L212" s="176"/>
      <c r="M212" s="145"/>
      <c r="N212" s="145"/>
      <c r="O212" s="145"/>
      <c r="P212" s="145"/>
      <c r="Q212" s="145"/>
      <c r="R212" s="145"/>
      <c r="S212" s="145"/>
      <c r="T212" s="145"/>
      <c r="U212" s="145"/>
      <c r="V212" s="145"/>
      <c r="W212" s="145"/>
      <c r="X212" s="145"/>
      <c r="Y212" s="145"/>
      <c r="Z212" s="145"/>
    </row>
    <row r="213" spans="1:26" x14ac:dyDescent="0.25">
      <c r="A213" s="176"/>
      <c r="B213" s="2"/>
      <c r="C213" s="2"/>
      <c r="D213" s="2"/>
      <c r="E213" s="2"/>
      <c r="F213" s="2"/>
      <c r="G213" s="2"/>
      <c r="H213" s="2"/>
      <c r="I213" s="2"/>
      <c r="J213" s="2"/>
      <c r="K213" s="2"/>
      <c r="L213" s="176"/>
      <c r="M213" s="145"/>
      <c r="N213" s="145"/>
      <c r="O213" s="145"/>
      <c r="P213" s="145"/>
      <c r="Q213" s="145"/>
      <c r="R213" s="145"/>
      <c r="S213" s="145"/>
      <c r="T213" s="145"/>
      <c r="U213" s="145"/>
      <c r="V213" s="145"/>
      <c r="W213" s="145"/>
      <c r="X213" s="145"/>
      <c r="Y213" s="145"/>
      <c r="Z213" s="145"/>
    </row>
    <row r="214" spans="1:26" x14ac:dyDescent="0.25">
      <c r="A214" s="176"/>
      <c r="B214" s="2"/>
      <c r="C214" s="2"/>
      <c r="D214" s="2"/>
      <c r="E214" s="2"/>
      <c r="F214" s="2"/>
      <c r="G214" s="2"/>
      <c r="H214" s="2"/>
      <c r="I214" s="2"/>
      <c r="J214" s="2"/>
      <c r="K214" s="2"/>
      <c r="L214" s="176"/>
      <c r="M214" s="145"/>
      <c r="N214" s="145"/>
      <c r="O214" s="145"/>
      <c r="P214" s="145"/>
      <c r="Q214" s="145"/>
      <c r="R214" s="145"/>
      <c r="S214" s="145"/>
      <c r="T214" s="145"/>
      <c r="U214" s="145"/>
      <c r="V214" s="145"/>
      <c r="W214" s="145"/>
      <c r="X214" s="145"/>
      <c r="Y214" s="145"/>
      <c r="Z214" s="145"/>
    </row>
    <row r="215" spans="1:26" x14ac:dyDescent="0.25">
      <c r="A215" s="176"/>
      <c r="B215" s="2"/>
      <c r="C215" s="404" t="s">
        <v>517</v>
      </c>
      <c r="D215" s="404"/>
      <c r="E215" s="3"/>
      <c r="F215" s="3"/>
      <c r="G215" s="3"/>
      <c r="H215" s="222">
        <f>IDENTITAS!D22</f>
        <v>0</v>
      </c>
      <c r="I215" s="3"/>
      <c r="J215" s="2"/>
      <c r="K215" s="2"/>
      <c r="L215" s="176"/>
      <c r="M215" s="145"/>
      <c r="N215" s="145"/>
      <c r="O215" s="145"/>
      <c r="P215" s="145"/>
      <c r="Q215" s="145"/>
      <c r="R215" s="145"/>
      <c r="S215" s="145"/>
      <c r="T215" s="145"/>
      <c r="U215" s="145"/>
      <c r="V215" s="145"/>
      <c r="W215" s="145"/>
      <c r="X215" s="145"/>
      <c r="Y215" s="145"/>
      <c r="Z215" s="145"/>
    </row>
    <row r="216" spans="1:26" x14ac:dyDescent="0.25">
      <c r="A216" s="176"/>
      <c r="B216" s="2"/>
      <c r="C216" s="404" t="s">
        <v>518</v>
      </c>
      <c r="D216" s="404"/>
      <c r="E216" s="3"/>
      <c r="F216" s="3"/>
      <c r="G216" s="3"/>
      <c r="H216" s="404" t="str">
        <f>"Wali Kelas "&amp;IDENTITAS!D19</f>
        <v xml:space="preserve">Wali Kelas </v>
      </c>
      <c r="I216" s="404"/>
      <c r="J216" s="2"/>
      <c r="K216" s="2"/>
      <c r="L216" s="176"/>
      <c r="M216" s="145"/>
      <c r="N216" s="145"/>
      <c r="O216" s="145"/>
      <c r="P216" s="145"/>
      <c r="Q216" s="145"/>
      <c r="R216" s="145"/>
      <c r="S216" s="145"/>
      <c r="T216" s="145"/>
      <c r="U216" s="145"/>
      <c r="V216" s="145"/>
      <c r="W216" s="145"/>
      <c r="X216" s="145"/>
      <c r="Y216" s="145"/>
      <c r="Z216" s="145"/>
    </row>
    <row r="217" spans="1:26" x14ac:dyDescent="0.25">
      <c r="A217" s="176"/>
      <c r="B217" s="2"/>
      <c r="C217" s="3"/>
      <c r="D217" s="3"/>
      <c r="E217" s="3"/>
      <c r="F217" s="3"/>
      <c r="G217" s="3"/>
      <c r="H217" s="3"/>
      <c r="I217" s="3"/>
      <c r="J217" s="2"/>
      <c r="K217" s="2"/>
      <c r="L217" s="176"/>
      <c r="M217" s="145"/>
      <c r="N217" s="145"/>
      <c r="O217" s="145"/>
      <c r="P217" s="145"/>
      <c r="Q217" s="145"/>
      <c r="R217" s="145"/>
      <c r="S217" s="145"/>
      <c r="T217" s="145"/>
      <c r="U217" s="145"/>
      <c r="V217" s="145"/>
      <c r="W217" s="145"/>
      <c r="X217" s="145"/>
      <c r="Y217" s="145"/>
      <c r="Z217" s="145"/>
    </row>
    <row r="218" spans="1:26" x14ac:dyDescent="0.25">
      <c r="A218" s="176"/>
      <c r="B218" s="2"/>
      <c r="C218" s="3"/>
      <c r="D218" s="3"/>
      <c r="E218" s="3"/>
      <c r="F218" s="3"/>
      <c r="G218" s="3"/>
      <c r="H218" s="3"/>
      <c r="I218" s="3"/>
      <c r="J218" s="2"/>
      <c r="K218" s="2"/>
      <c r="L218" s="176"/>
      <c r="M218" s="145"/>
      <c r="N218" s="145"/>
      <c r="O218" s="145"/>
      <c r="P218" s="145"/>
      <c r="Q218" s="145"/>
      <c r="R218" s="145"/>
      <c r="S218" s="145"/>
      <c r="T218" s="145"/>
      <c r="U218" s="145"/>
      <c r="V218" s="145"/>
      <c r="W218" s="145"/>
      <c r="X218" s="145"/>
      <c r="Y218" s="145"/>
      <c r="Z218" s="145"/>
    </row>
    <row r="219" spans="1:26" x14ac:dyDescent="0.25">
      <c r="A219" s="176"/>
      <c r="B219" s="2"/>
      <c r="C219" s="3"/>
      <c r="D219" s="3"/>
      <c r="E219" s="3"/>
      <c r="F219" s="3"/>
      <c r="G219" s="3"/>
      <c r="H219" s="3"/>
      <c r="I219" s="3"/>
      <c r="J219" s="2"/>
      <c r="K219" s="2"/>
      <c r="L219" s="176"/>
      <c r="M219" s="145"/>
      <c r="N219" s="145"/>
      <c r="O219" s="145"/>
      <c r="P219" s="145"/>
      <c r="Q219" s="145"/>
      <c r="R219" s="145"/>
      <c r="S219" s="145"/>
      <c r="T219" s="145"/>
      <c r="U219" s="145"/>
      <c r="V219" s="145"/>
      <c r="W219" s="145"/>
      <c r="X219" s="145"/>
      <c r="Y219" s="145"/>
      <c r="Z219" s="145"/>
    </row>
    <row r="220" spans="1:26" x14ac:dyDescent="0.25">
      <c r="A220" s="176"/>
      <c r="B220" s="2"/>
      <c r="C220" s="217"/>
      <c r="D220" s="217"/>
      <c r="E220" s="3"/>
      <c r="F220" s="3"/>
      <c r="G220" s="3"/>
      <c r="H220" s="402">
        <f>IDENTITAS!D17</f>
        <v>0</v>
      </c>
      <c r="I220" s="402"/>
      <c r="J220" s="2"/>
      <c r="K220" s="2"/>
      <c r="L220" s="176"/>
      <c r="M220" s="145"/>
      <c r="N220" s="145"/>
      <c r="O220" s="145"/>
      <c r="P220" s="145"/>
      <c r="Q220" s="145"/>
      <c r="R220" s="145"/>
      <c r="S220" s="145"/>
      <c r="T220" s="145"/>
      <c r="U220" s="145"/>
      <c r="V220" s="145"/>
      <c r="W220" s="145"/>
      <c r="X220" s="145"/>
      <c r="Y220" s="145"/>
      <c r="Z220" s="145"/>
    </row>
    <row r="221" spans="1:26" x14ac:dyDescent="0.25">
      <c r="A221" s="176"/>
      <c r="B221" s="2"/>
      <c r="C221" s="3"/>
      <c r="D221" s="3"/>
      <c r="E221" s="3"/>
      <c r="F221" s="3"/>
      <c r="G221" s="3"/>
      <c r="H221" s="403" t="str">
        <f>"NIP. "&amp;IDENTITAS!D18</f>
        <v xml:space="preserve">NIP. </v>
      </c>
      <c r="I221" s="403"/>
      <c r="J221" s="2"/>
      <c r="K221" s="2"/>
      <c r="L221" s="176"/>
      <c r="M221" s="145"/>
      <c r="N221" s="145"/>
      <c r="O221" s="145"/>
      <c r="P221" s="145"/>
      <c r="Q221" s="145"/>
      <c r="R221" s="145"/>
      <c r="S221" s="145"/>
      <c r="T221" s="145"/>
      <c r="U221" s="145"/>
      <c r="V221" s="145"/>
      <c r="W221" s="145"/>
      <c r="X221" s="145"/>
      <c r="Y221" s="145"/>
      <c r="Z221" s="145"/>
    </row>
    <row r="222" spans="1:26" x14ac:dyDescent="0.25">
      <c r="A222" s="176"/>
      <c r="B222" s="2"/>
      <c r="C222" s="3"/>
      <c r="D222" s="3"/>
      <c r="E222" s="3"/>
      <c r="F222" s="3"/>
      <c r="G222" s="3"/>
      <c r="H222" s="3"/>
      <c r="I222" s="3"/>
      <c r="J222" s="2"/>
      <c r="K222" s="2"/>
      <c r="L222" s="176"/>
      <c r="M222" s="145"/>
      <c r="N222" s="145"/>
      <c r="O222" s="145"/>
      <c r="P222" s="145"/>
      <c r="Q222" s="145"/>
      <c r="R222" s="145"/>
      <c r="S222" s="145"/>
      <c r="T222" s="145"/>
      <c r="U222" s="145"/>
      <c r="V222" s="145"/>
      <c r="W222" s="145"/>
      <c r="X222" s="145"/>
      <c r="Y222" s="145"/>
      <c r="Z222" s="145"/>
    </row>
    <row r="223" spans="1:26" x14ac:dyDescent="0.25">
      <c r="A223" s="176"/>
      <c r="B223" s="2"/>
      <c r="C223" s="3"/>
      <c r="D223" s="3"/>
      <c r="E223" s="404" t="s">
        <v>517</v>
      </c>
      <c r="F223" s="404"/>
      <c r="G223" s="3"/>
      <c r="H223" s="3"/>
      <c r="I223" s="3"/>
      <c r="J223" s="2"/>
      <c r="K223" s="2"/>
      <c r="L223" s="176"/>
      <c r="M223" s="145"/>
      <c r="N223" s="145"/>
      <c r="O223" s="145"/>
      <c r="P223" s="145"/>
      <c r="Q223" s="145"/>
      <c r="R223" s="145"/>
      <c r="S223" s="145"/>
      <c r="T223" s="145"/>
      <c r="U223" s="145"/>
      <c r="V223" s="145"/>
      <c r="W223" s="145"/>
      <c r="X223" s="145"/>
      <c r="Y223" s="145"/>
      <c r="Z223" s="145"/>
    </row>
    <row r="224" spans="1:26" x14ac:dyDescent="0.25">
      <c r="A224" s="176"/>
      <c r="B224" s="2"/>
      <c r="C224" s="3"/>
      <c r="D224" s="3"/>
      <c r="E224" s="404" t="s">
        <v>519</v>
      </c>
      <c r="F224" s="404"/>
      <c r="G224" s="3"/>
      <c r="H224" s="3"/>
      <c r="I224" s="3"/>
      <c r="J224" s="2"/>
      <c r="K224" s="2"/>
      <c r="L224" s="176"/>
      <c r="M224" s="145"/>
      <c r="N224" s="145"/>
      <c r="O224" s="145"/>
      <c r="P224" s="145"/>
      <c r="Q224" s="145"/>
      <c r="R224" s="145"/>
      <c r="S224" s="145"/>
      <c r="T224" s="145"/>
      <c r="U224" s="145"/>
      <c r="V224" s="145"/>
      <c r="W224" s="145"/>
      <c r="X224" s="145"/>
      <c r="Y224" s="145"/>
      <c r="Z224" s="145"/>
    </row>
    <row r="225" spans="1:26" x14ac:dyDescent="0.25">
      <c r="A225" s="176"/>
      <c r="B225" s="2"/>
      <c r="C225" s="3"/>
      <c r="D225" s="3"/>
      <c r="E225" s="3"/>
      <c r="F225" s="3"/>
      <c r="G225" s="3"/>
      <c r="H225" s="3"/>
      <c r="I225" s="3"/>
      <c r="J225" s="2"/>
      <c r="K225" s="2"/>
      <c r="L225" s="176"/>
      <c r="M225" s="145"/>
      <c r="N225" s="145"/>
      <c r="O225" s="145"/>
      <c r="P225" s="145"/>
      <c r="Q225" s="145"/>
      <c r="R225" s="145"/>
      <c r="S225" s="145"/>
      <c r="T225" s="145"/>
      <c r="U225" s="145"/>
      <c r="V225" s="145"/>
      <c r="W225" s="145"/>
      <c r="X225" s="145"/>
      <c r="Y225" s="145"/>
      <c r="Z225" s="145"/>
    </row>
    <row r="226" spans="1:26" x14ac:dyDescent="0.25">
      <c r="A226" s="176"/>
      <c r="B226" s="2"/>
      <c r="C226" s="3"/>
      <c r="D226" s="3"/>
      <c r="E226" s="3"/>
      <c r="F226" s="3"/>
      <c r="G226" s="3"/>
      <c r="H226" s="3"/>
      <c r="I226" s="3"/>
      <c r="J226" s="2"/>
      <c r="K226" s="2"/>
      <c r="L226" s="176"/>
      <c r="M226" s="145"/>
      <c r="N226" s="145"/>
      <c r="O226" s="145"/>
      <c r="P226" s="145"/>
      <c r="Q226" s="145"/>
      <c r="R226" s="145"/>
      <c r="S226" s="145"/>
      <c r="T226" s="145"/>
      <c r="U226" s="145"/>
      <c r="V226" s="145"/>
      <c r="W226" s="145"/>
      <c r="X226" s="145"/>
      <c r="Y226" s="145"/>
      <c r="Z226" s="145"/>
    </row>
    <row r="227" spans="1:26" x14ac:dyDescent="0.25">
      <c r="A227" s="176"/>
      <c r="B227" s="2"/>
      <c r="C227" s="3"/>
      <c r="D227" s="3"/>
      <c r="E227" s="3"/>
      <c r="F227" s="3"/>
      <c r="G227" s="3"/>
      <c r="H227" s="3"/>
      <c r="I227" s="3"/>
      <c r="J227" s="2"/>
      <c r="K227" s="2"/>
      <c r="L227" s="176"/>
      <c r="M227" s="145"/>
      <c r="N227" s="145"/>
      <c r="O227" s="145"/>
      <c r="P227" s="145"/>
      <c r="Q227" s="145"/>
      <c r="R227" s="145"/>
      <c r="S227" s="145"/>
      <c r="T227" s="145"/>
      <c r="U227" s="145"/>
      <c r="V227" s="145"/>
      <c r="W227" s="145"/>
      <c r="X227" s="145"/>
      <c r="Y227" s="145"/>
      <c r="Z227" s="145"/>
    </row>
    <row r="228" spans="1:26" x14ac:dyDescent="0.25">
      <c r="A228" s="176"/>
      <c r="B228" s="2"/>
      <c r="C228" s="3"/>
      <c r="D228" s="3"/>
      <c r="E228" s="400">
        <f>IDENTITAS!D15</f>
        <v>0</v>
      </c>
      <c r="F228" s="400"/>
      <c r="G228" s="3"/>
      <c r="H228" s="3"/>
      <c r="I228" s="3"/>
      <c r="J228" s="2"/>
      <c r="K228" s="2"/>
      <c r="L228" s="176"/>
      <c r="M228" s="145"/>
      <c r="N228" s="145"/>
      <c r="O228" s="145"/>
      <c r="P228" s="145"/>
      <c r="Q228" s="145"/>
      <c r="R228" s="145"/>
      <c r="S228" s="145"/>
      <c r="T228" s="145"/>
      <c r="U228" s="145"/>
      <c r="V228" s="145"/>
      <c r="W228" s="145"/>
      <c r="X228" s="145"/>
      <c r="Y228" s="145"/>
      <c r="Z228" s="145"/>
    </row>
    <row r="229" spans="1:26" x14ac:dyDescent="0.25">
      <c r="A229" s="176"/>
      <c r="B229" s="2"/>
      <c r="C229" s="3"/>
      <c r="D229" s="3"/>
      <c r="E229" s="401" t="str">
        <f>"NIP. "&amp;IDENTITAS!D16</f>
        <v xml:space="preserve">NIP. </v>
      </c>
      <c r="F229" s="401"/>
      <c r="G229" s="3"/>
      <c r="H229" s="3"/>
      <c r="I229" s="3"/>
      <c r="J229" s="2"/>
      <c r="K229" s="2"/>
      <c r="L229" s="176"/>
      <c r="M229" s="145"/>
      <c r="N229" s="145"/>
      <c r="O229" s="145"/>
      <c r="P229" s="145"/>
      <c r="Q229" s="145"/>
      <c r="R229" s="145"/>
      <c r="S229" s="145"/>
      <c r="T229" s="145"/>
      <c r="U229" s="145"/>
      <c r="V229" s="145"/>
      <c r="W229" s="145"/>
      <c r="X229" s="145"/>
      <c r="Y229" s="145"/>
      <c r="Z229" s="145"/>
    </row>
    <row r="230" spans="1:26" ht="18.75" customHeight="1" x14ac:dyDescent="0.25">
      <c r="A230" s="176"/>
      <c r="B230" s="2"/>
      <c r="C230" s="2"/>
      <c r="D230" s="2"/>
      <c r="E230" s="2"/>
      <c r="F230" s="2"/>
      <c r="G230" s="2"/>
      <c r="H230" s="2"/>
      <c r="I230" s="2"/>
      <c r="J230" s="2"/>
      <c r="K230" s="2"/>
      <c r="L230" s="176"/>
      <c r="M230" s="145"/>
      <c r="N230" s="145"/>
      <c r="O230" s="145"/>
      <c r="P230" s="145"/>
      <c r="Q230" s="145"/>
      <c r="R230" s="145"/>
      <c r="S230" s="145"/>
      <c r="T230" s="145"/>
      <c r="U230" s="145"/>
      <c r="V230" s="145"/>
      <c r="W230" s="145"/>
      <c r="X230" s="145"/>
      <c r="Y230" s="145"/>
      <c r="Z230" s="145"/>
    </row>
    <row r="231" spans="1:26" x14ac:dyDescent="0.25">
      <c r="A231" s="176"/>
      <c r="B231" s="176"/>
      <c r="C231" s="176"/>
      <c r="D231" s="176"/>
      <c r="E231" s="176"/>
      <c r="F231" s="176"/>
      <c r="G231" s="176"/>
      <c r="H231" s="176"/>
      <c r="I231" s="176"/>
      <c r="J231" s="176"/>
      <c r="K231" s="176"/>
      <c r="L231" s="176"/>
      <c r="M231" s="145"/>
      <c r="N231" s="145"/>
      <c r="O231" s="145"/>
      <c r="P231" s="145"/>
      <c r="Q231" s="145"/>
      <c r="R231" s="145"/>
      <c r="S231" s="145"/>
      <c r="T231" s="145"/>
      <c r="U231" s="145"/>
      <c r="V231" s="145"/>
      <c r="W231" s="145"/>
      <c r="X231" s="145"/>
      <c r="Y231" s="145"/>
      <c r="Z231" s="145"/>
    </row>
    <row r="232" spans="1:26" x14ac:dyDescent="0.25">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row>
    <row r="233" spans="1:26" x14ac:dyDescent="0.25">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row>
    <row r="234" spans="1:26" x14ac:dyDescent="0.25">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row>
    <row r="235" spans="1:26" x14ac:dyDescent="0.25">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row>
    <row r="236" spans="1:26" x14ac:dyDescent="0.25">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row>
    <row r="237" spans="1:26" x14ac:dyDescent="0.25">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row>
    <row r="238" spans="1:26" x14ac:dyDescent="0.25">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row>
    <row r="239" spans="1:26" x14ac:dyDescent="0.25">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row>
    <row r="240" spans="1:26" x14ac:dyDescent="0.25">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row>
    <row r="241" spans="1:26" x14ac:dyDescent="0.25">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row>
    <row r="242" spans="1:26" x14ac:dyDescent="0.25">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row>
    <row r="243" spans="1:26" x14ac:dyDescent="0.25">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row>
    <row r="244" spans="1:26" x14ac:dyDescent="0.25">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row>
    <row r="245" spans="1:26" x14ac:dyDescent="0.25">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row>
    <row r="246" spans="1:26" x14ac:dyDescent="0.25">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row>
  </sheetData>
  <mergeCells count="171">
    <mergeCell ref="B70:J70"/>
    <mergeCell ref="B75:J75"/>
    <mergeCell ref="B80:J80"/>
    <mergeCell ref="B85:J85"/>
    <mergeCell ref="B66:F69"/>
    <mergeCell ref="G66:G69"/>
    <mergeCell ref="H66:H69"/>
    <mergeCell ref="I66:I69"/>
    <mergeCell ref="J66:J69"/>
    <mergeCell ref="I76:I79"/>
    <mergeCell ref="J76:J79"/>
    <mergeCell ref="B71:F74"/>
    <mergeCell ref="G71:G74"/>
    <mergeCell ref="H71:H74"/>
    <mergeCell ref="I71:I74"/>
    <mergeCell ref="H76:H79"/>
    <mergeCell ref="B60:J60"/>
    <mergeCell ref="C205:D205"/>
    <mergeCell ref="C206:D206"/>
    <mergeCell ref="C207:D207"/>
    <mergeCell ref="E205:F205"/>
    <mergeCell ref="E206:F206"/>
    <mergeCell ref="E207:F207"/>
    <mergeCell ref="G205:H205"/>
    <mergeCell ref="G206:H206"/>
    <mergeCell ref="G207:H207"/>
    <mergeCell ref="I205:J205"/>
    <mergeCell ref="I206:J206"/>
    <mergeCell ref="I207:J207"/>
    <mergeCell ref="B203:K203"/>
    <mergeCell ref="B116:F119"/>
    <mergeCell ref="G116:G119"/>
    <mergeCell ref="H116:H119"/>
    <mergeCell ref="I116:I119"/>
    <mergeCell ref="J116:J119"/>
    <mergeCell ref="B110:J110"/>
    <mergeCell ref="B111:F114"/>
    <mergeCell ref="G111:G114"/>
    <mergeCell ref="H111:H114"/>
    <mergeCell ref="B65:J65"/>
    <mergeCell ref="B56:F59"/>
    <mergeCell ref="G56:G59"/>
    <mergeCell ref="H56:H59"/>
    <mergeCell ref="I56:I59"/>
    <mergeCell ref="J56:J59"/>
    <mergeCell ref="B53:F54"/>
    <mergeCell ref="G53:G54"/>
    <mergeCell ref="H53:H54"/>
    <mergeCell ref="B55:J55"/>
    <mergeCell ref="E228:F228"/>
    <mergeCell ref="E229:F229"/>
    <mergeCell ref="H220:I220"/>
    <mergeCell ref="H221:I221"/>
    <mergeCell ref="H216:I216"/>
    <mergeCell ref="C216:D216"/>
    <mergeCell ref="E223:F223"/>
    <mergeCell ref="E224:F224"/>
    <mergeCell ref="J71:J74"/>
    <mergeCell ref="B93:J100"/>
    <mergeCell ref="C215:D215"/>
    <mergeCell ref="J103:J104"/>
    <mergeCell ref="B105:J105"/>
    <mergeCell ref="B106:F109"/>
    <mergeCell ref="G106:G109"/>
    <mergeCell ref="H106:H109"/>
    <mergeCell ref="I106:I109"/>
    <mergeCell ref="J106:J109"/>
    <mergeCell ref="B103:F104"/>
    <mergeCell ref="G103:G104"/>
    <mergeCell ref="H103:H104"/>
    <mergeCell ref="I103:I104"/>
    <mergeCell ref="J121:J124"/>
    <mergeCell ref="B115:J115"/>
    <mergeCell ref="B3:J3"/>
    <mergeCell ref="B4:J4"/>
    <mergeCell ref="B86:F89"/>
    <mergeCell ref="G86:G89"/>
    <mergeCell ref="H86:H89"/>
    <mergeCell ref="I86:I89"/>
    <mergeCell ref="J86:J89"/>
    <mergeCell ref="B81:F84"/>
    <mergeCell ref="G81:G84"/>
    <mergeCell ref="H81:H84"/>
    <mergeCell ref="I81:I84"/>
    <mergeCell ref="J81:J84"/>
    <mergeCell ref="B76:F79"/>
    <mergeCell ref="G76:G79"/>
    <mergeCell ref="B61:F64"/>
    <mergeCell ref="G61:G64"/>
    <mergeCell ref="H61:H64"/>
    <mergeCell ref="I61:I64"/>
    <mergeCell ref="J61:J64"/>
    <mergeCell ref="I53:I54"/>
    <mergeCell ref="J53:J54"/>
    <mergeCell ref="C14:J21"/>
    <mergeCell ref="C25:J32"/>
    <mergeCell ref="C36:J43"/>
    <mergeCell ref="I111:I114"/>
    <mergeCell ref="J111:J114"/>
    <mergeCell ref="B180:J180"/>
    <mergeCell ref="J176:J179"/>
    <mergeCell ref="I176:I179"/>
    <mergeCell ref="B135:J135"/>
    <mergeCell ref="B136:F139"/>
    <mergeCell ref="G136:G139"/>
    <mergeCell ref="H136:H139"/>
    <mergeCell ref="I136:I139"/>
    <mergeCell ref="J136:J139"/>
    <mergeCell ref="B170:J170"/>
    <mergeCell ref="J166:J169"/>
    <mergeCell ref="I166:I169"/>
    <mergeCell ref="H166:H169"/>
    <mergeCell ref="G166:G169"/>
    <mergeCell ref="B166:F169"/>
    <mergeCell ref="H176:H179"/>
    <mergeCell ref="G176:G179"/>
    <mergeCell ref="B176:F179"/>
    <mergeCell ref="B175:J175"/>
    <mergeCell ref="J171:J174"/>
    <mergeCell ref="I171:I174"/>
    <mergeCell ref="H171:H174"/>
    <mergeCell ref="G171:G174"/>
    <mergeCell ref="B171:F174"/>
    <mergeCell ref="B193:J200"/>
    <mergeCell ref="J186:J189"/>
    <mergeCell ref="I186:I189"/>
    <mergeCell ref="H186:H189"/>
    <mergeCell ref="G186:G189"/>
    <mergeCell ref="B186:F189"/>
    <mergeCell ref="B185:J185"/>
    <mergeCell ref="J181:J184"/>
    <mergeCell ref="I181:I184"/>
    <mergeCell ref="H181:H184"/>
    <mergeCell ref="G181:G184"/>
    <mergeCell ref="B181:F184"/>
    <mergeCell ref="B160:J160"/>
    <mergeCell ref="J156:J159"/>
    <mergeCell ref="I156:I159"/>
    <mergeCell ref="H156:H159"/>
    <mergeCell ref="G156:G159"/>
    <mergeCell ref="B156:F159"/>
    <mergeCell ref="B165:J165"/>
    <mergeCell ref="J161:J164"/>
    <mergeCell ref="I161:I164"/>
    <mergeCell ref="H161:H164"/>
    <mergeCell ref="G161:G164"/>
    <mergeCell ref="B161:F164"/>
    <mergeCell ref="B125:J125"/>
    <mergeCell ref="B126:F129"/>
    <mergeCell ref="G126:G129"/>
    <mergeCell ref="H126:H129"/>
    <mergeCell ref="I126:I129"/>
    <mergeCell ref="J126:J129"/>
    <mergeCell ref="B120:J120"/>
    <mergeCell ref="B155:J155"/>
    <mergeCell ref="J153:J154"/>
    <mergeCell ref="I153:I154"/>
    <mergeCell ref="H153:H154"/>
    <mergeCell ref="G153:G154"/>
    <mergeCell ref="B153:F154"/>
    <mergeCell ref="B143:J150"/>
    <mergeCell ref="B130:J130"/>
    <mergeCell ref="B131:F134"/>
    <mergeCell ref="G131:G134"/>
    <mergeCell ref="H131:H134"/>
    <mergeCell ref="I131:I134"/>
    <mergeCell ref="J131:J134"/>
    <mergeCell ref="B121:F124"/>
    <mergeCell ref="G121:G124"/>
    <mergeCell ref="H121:H124"/>
    <mergeCell ref="I121:I124"/>
  </mergeCells>
  <pageMargins left="0.70866141732283472" right="0.5118110236220472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Spinner 1">
              <controlPr defaultSize="0" autoPict="0">
                <anchor moveWithCells="1" sizeWithCells="1">
                  <from>
                    <xdr:col>13</xdr:col>
                    <xdr:colOff>9525</xdr:colOff>
                    <xdr:row>1</xdr:row>
                    <xdr:rowOff>114300</xdr:rowOff>
                  </from>
                  <to>
                    <xdr:col>13</xdr:col>
                    <xdr:colOff>314325</xdr:colOff>
                    <xdr:row>3</xdr:row>
                    <xdr:rowOff>123825</xdr:rowOff>
                  </to>
                </anchor>
              </controlPr>
            </control>
          </mc:Choice>
        </mc:AlternateContent>
        <mc:AlternateContent xmlns:mc="http://schemas.openxmlformats.org/markup-compatibility/2006">
          <mc:Choice Requires="x14">
            <control shapeId="25602" r:id="rId5" name="Spinner 2">
              <controlPr defaultSize="0" autoPict="0">
                <anchor moveWithCells="1" sizeWithCells="1">
                  <from>
                    <xdr:col>12</xdr:col>
                    <xdr:colOff>600075</xdr:colOff>
                    <xdr:row>51</xdr:row>
                    <xdr:rowOff>123825</xdr:rowOff>
                  </from>
                  <to>
                    <xdr:col>13</xdr:col>
                    <xdr:colOff>295275</xdr:colOff>
                    <xdr:row>53</xdr:row>
                    <xdr:rowOff>28575</xdr:rowOff>
                  </to>
                </anchor>
              </controlPr>
            </control>
          </mc:Choice>
        </mc:AlternateContent>
        <mc:AlternateContent xmlns:mc="http://schemas.openxmlformats.org/markup-compatibility/2006">
          <mc:Choice Requires="x14">
            <control shapeId="25603" r:id="rId6" name="Spinner 3">
              <controlPr defaultSize="0" autoPict="0">
                <anchor moveWithCells="1" sizeWithCells="1">
                  <from>
                    <xdr:col>13</xdr:col>
                    <xdr:colOff>19050</xdr:colOff>
                    <xdr:row>101</xdr:row>
                    <xdr:rowOff>85725</xdr:rowOff>
                  </from>
                  <to>
                    <xdr:col>13</xdr:col>
                    <xdr:colOff>323850</xdr:colOff>
                    <xdr:row>103</xdr:row>
                    <xdr:rowOff>133350</xdr:rowOff>
                  </to>
                </anchor>
              </controlPr>
            </control>
          </mc:Choice>
        </mc:AlternateContent>
        <mc:AlternateContent xmlns:mc="http://schemas.openxmlformats.org/markup-compatibility/2006">
          <mc:Choice Requires="x14">
            <control shapeId="25604" r:id="rId7" name="Spinner 4">
              <controlPr defaultSize="0" autoPict="0">
                <anchor moveWithCells="1" sizeWithCells="1">
                  <from>
                    <xdr:col>12</xdr:col>
                    <xdr:colOff>571500</xdr:colOff>
                    <xdr:row>151</xdr:row>
                    <xdr:rowOff>76200</xdr:rowOff>
                  </from>
                  <to>
                    <xdr:col>13</xdr:col>
                    <xdr:colOff>266700</xdr:colOff>
                    <xdr:row>153</xdr:row>
                    <xdr:rowOff>123825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514</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444</v>
      </c>
      <c r="H6" s="173"/>
      <c r="I6" s="175" t="str">
        <f>": "&amp;IDENTITAS!H7</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A158"/>
  <sheetViews>
    <sheetView workbookViewId="0"/>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442</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444</v>
      </c>
      <c r="D6" s="63"/>
      <c r="E6" s="316">
        <f>IDENTITAS!$H$7</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443</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521</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 xml:space="preserve">Capaian Fase </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c r="D13" s="307"/>
      <c r="E13" s="308"/>
      <c r="F13" s="70"/>
      <c r="G13" s="306"/>
      <c r="H13" s="307"/>
      <c r="I13" s="308"/>
      <c r="J13" s="64"/>
      <c r="K13" s="306"/>
      <c r="L13" s="307"/>
      <c r="M13" s="307"/>
      <c r="N13" s="308"/>
      <c r="O13" s="64"/>
      <c r="P13" s="306" t="e">
        <f>INDEX(ELSUBFASE!$C$11:$H$52,MATCH(PROYEK2!K13,ELSUBFASE!$B$11:$B$52,0),MATCH(PROYEK2!E7,ELSUBFASE!$C$10:$H$10,0))</f>
        <v>#N/A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 xml:space="preserve">Capaian Fase </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c r="D19" s="307"/>
      <c r="E19" s="308"/>
      <c r="F19" s="70"/>
      <c r="G19" s="306"/>
      <c r="H19" s="307"/>
      <c r="I19" s="308"/>
      <c r="J19" s="64"/>
      <c r="K19" s="306"/>
      <c r="L19" s="307"/>
      <c r="M19" s="307"/>
      <c r="N19" s="308"/>
      <c r="O19" s="64"/>
      <c r="P19" s="306" t="e">
        <f>INDEX(ELSUBFASE!C11:H52,MATCH(PROYEK2!K19,ELSUBFASE!B11:B52,0),MATCH(PROYEK2!E7,ELSUBFASE!C10:H10,0))</f>
        <v>#N/A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 xml:space="preserve">Capaian Fase </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c r="D25" s="307"/>
      <c r="E25" s="308"/>
      <c r="F25" s="70"/>
      <c r="G25" s="306"/>
      <c r="H25" s="307"/>
      <c r="I25" s="308"/>
      <c r="J25" s="64"/>
      <c r="K25" s="306"/>
      <c r="L25" s="307"/>
      <c r="M25" s="307"/>
      <c r="N25" s="308"/>
      <c r="O25" s="64"/>
      <c r="P25" s="306" t="e">
        <f>INDEX(ELSUBFASE!C11:H52,MATCH(PROYEK2!K25,ELSUBFASE!B11:B52,0),MATCH(PROYEK2!E7,ELSUBFASE!C10:H10,0))</f>
        <v>#N/A</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 xml:space="preserve">Capaian Fase </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c r="D31" s="307"/>
      <c r="E31" s="308"/>
      <c r="F31" s="64"/>
      <c r="G31" s="306"/>
      <c r="H31" s="307"/>
      <c r="I31" s="308"/>
      <c r="J31" s="64"/>
      <c r="K31" s="306"/>
      <c r="L31" s="307"/>
      <c r="M31" s="307"/>
      <c r="N31" s="308"/>
      <c r="O31" s="64"/>
      <c r="P31" s="306" t="e">
        <f>INDEX(ELSUBFASE!C11:H52,MATCH(PROYEK2!K31,ELSUBFASE!B11:B52,0),MATCH(PROYEK2!E7,ELSUBFASE!C10:H10,0))</f>
        <v>#N/A</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 xml:space="preserve">Capaian Fase </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c r="D37" s="307"/>
      <c r="E37" s="308"/>
      <c r="F37" s="64"/>
      <c r="G37" s="306"/>
      <c r="H37" s="307"/>
      <c r="I37" s="308"/>
      <c r="J37" s="64"/>
      <c r="K37" s="306"/>
      <c r="L37" s="307"/>
      <c r="M37" s="307"/>
      <c r="N37" s="308"/>
      <c r="O37" s="64"/>
      <c r="P37" s="306" t="e">
        <f>INDEX(ELSUBFASE!C11:H52,MATCH(PROYEK2!K37,ELSUBFASE!B11:B52,0),MATCH(PROYEK2!E7,ELSUBFASE!C10:H10,0))</f>
        <v>#N/A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 xml:space="preserve">Capaian Fase </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c r="D43" s="307"/>
      <c r="E43" s="308"/>
      <c r="F43" s="64"/>
      <c r="G43" s="306"/>
      <c r="H43" s="307"/>
      <c r="I43" s="308"/>
      <c r="J43" s="64"/>
      <c r="K43" s="306"/>
      <c r="L43" s="307"/>
      <c r="M43" s="307"/>
      <c r="N43" s="308"/>
      <c r="O43" s="64"/>
      <c r="P43" s="306" t="e">
        <f>INDEX(ELSUBFASE!C11:H52,MATCH(PROYEK2!K43,ELSUBFASE!B11:B52,0),MATCH(PROYEK2!E7,ELSUBFASE!C10:H10,0))</f>
        <v>#N/A</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 xml:space="preserve">Capaian Fase </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c r="D49" s="307"/>
      <c r="E49" s="308"/>
      <c r="F49" s="64"/>
      <c r="G49" s="306"/>
      <c r="H49" s="307"/>
      <c r="I49" s="308"/>
      <c r="J49" s="64"/>
      <c r="K49" s="306"/>
      <c r="L49" s="307"/>
      <c r="M49" s="307"/>
      <c r="N49" s="308"/>
      <c r="O49" s="64"/>
      <c r="P49" s="306" t="e">
        <f>INDEX(ELSUBFASE!C11:H52,MATCH(PROYEK2!K49,ELSUBFASE!B11:B52,0),MATCH(PROYEK2!E7,ELSUBFASE!C10:H10,0))</f>
        <v>#N/A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row r="158" spans="1:1" x14ac:dyDescent="0.2">
      <c r="A158" s="4" t="str">
        <f>PROYEK2!K31&amp;"- "</f>
        <v xml:space="preserve">- </v>
      </c>
    </row>
  </sheetData>
  <mergeCells count="58">
    <mergeCell ref="C49:E51"/>
    <mergeCell ref="G49:I51"/>
    <mergeCell ref="K49:N51"/>
    <mergeCell ref="P49:T51"/>
    <mergeCell ref="C43:E45"/>
    <mergeCell ref="G43:I45"/>
    <mergeCell ref="K43:N45"/>
    <mergeCell ref="P43:T45"/>
    <mergeCell ref="C47:E48"/>
    <mergeCell ref="G47:I48"/>
    <mergeCell ref="K47:N48"/>
    <mergeCell ref="P47:T48"/>
    <mergeCell ref="C37:E39"/>
    <mergeCell ref="G37:I39"/>
    <mergeCell ref="K37:N39"/>
    <mergeCell ref="P37:T39"/>
    <mergeCell ref="C41:E42"/>
    <mergeCell ref="G41:I42"/>
    <mergeCell ref="K41:N42"/>
    <mergeCell ref="P41:T42"/>
    <mergeCell ref="C31:E33"/>
    <mergeCell ref="G31:I33"/>
    <mergeCell ref="K31:N33"/>
    <mergeCell ref="P31:T33"/>
    <mergeCell ref="C35:E36"/>
    <mergeCell ref="G35:I36"/>
    <mergeCell ref="K35:N36"/>
    <mergeCell ref="P35:T36"/>
    <mergeCell ref="C25:E27"/>
    <mergeCell ref="G25:I27"/>
    <mergeCell ref="K25:N27"/>
    <mergeCell ref="P25:T27"/>
    <mergeCell ref="C29:E30"/>
    <mergeCell ref="G29:I30"/>
    <mergeCell ref="K29:N30"/>
    <mergeCell ref="P29:T30"/>
    <mergeCell ref="C19:E21"/>
    <mergeCell ref="G19:I21"/>
    <mergeCell ref="K19:N21"/>
    <mergeCell ref="P19:T21"/>
    <mergeCell ref="C23:E24"/>
    <mergeCell ref="G23:I24"/>
    <mergeCell ref="K23:N24"/>
    <mergeCell ref="P23:T24"/>
    <mergeCell ref="C13:E15"/>
    <mergeCell ref="G13:I15"/>
    <mergeCell ref="K13:N15"/>
    <mergeCell ref="P13:T15"/>
    <mergeCell ref="C17:E18"/>
    <mergeCell ref="G17:I18"/>
    <mergeCell ref="K17:N18"/>
    <mergeCell ref="P17:T18"/>
    <mergeCell ref="C3:T3"/>
    <mergeCell ref="E6:I6"/>
    <mergeCell ref="C11:E12"/>
    <mergeCell ref="G11:I12"/>
    <mergeCell ref="K11:N12"/>
    <mergeCell ref="P11:T12"/>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B00-000000000000}">
          <x14:formula1>
            <xm:f>DIMEL!$B$10:$B$23</xm:f>
          </x14:formula1>
          <xm:sqref>E8:E9</xm:sqref>
        </x14:dataValidation>
        <x14:dataValidation type="list" allowBlank="1" showInputMessage="1" showErrorMessage="1" xr:uid="{00000000-0002-0000-0B00-000001000000}">
          <x14:formula1>
            <xm:f>OFFSET(ELSUBFASE!$A$3,1,MATCH($G$49,ELSUBFASE!$B$3:$U$3,0),5,1)</xm:f>
          </x14:formula1>
          <xm:sqref>K49:N51</xm:sqref>
        </x14:dataValidation>
        <x14:dataValidation type="list" allowBlank="1" showInputMessage="1" showErrorMessage="1" xr:uid="{00000000-0002-0000-0B00-000002000000}">
          <x14:formula1>
            <xm:f>CHOOSE(MATCH($C$49,DIMEL!$B$3:$G$3,0),DIMEL!$B$4:$B$8,DIMEL!$C$4:$C$7,DIMEL!$D$4:$D$6,DIMEL!$E$4:$E$5,DIMEL!$F$4:$F$6,DIMEL!$G$4:$G$6)</xm:f>
          </x14:formula1>
          <xm:sqref>G49:I51</xm:sqref>
        </x14:dataValidation>
        <x14:dataValidation type="list" allowBlank="1" showInputMessage="1" showErrorMessage="1" xr:uid="{00000000-0002-0000-0B00-000003000000}">
          <x14:formula1>
            <xm:f>OFFSET(ELSUBFASE!$A$3,1,MATCH($G$43,ELSUBFASE!$B$3:$U$3,0),5,1)</xm:f>
          </x14:formula1>
          <xm:sqref>K43:N45</xm:sqref>
        </x14:dataValidation>
        <x14:dataValidation type="list" allowBlank="1" showInputMessage="1" showErrorMessage="1" xr:uid="{00000000-0002-0000-0B00-000004000000}">
          <x14:formula1>
            <xm:f>CHOOSE(MATCH($C$43,DIMEL!$B$3:$G$3,0),DIMEL!$B$4:$B$8,DIMEL!$C$4:$C$7,DIMEL!$D$4:$D$6,DIMEL!$E$4:$E$5,DIMEL!$F$4:$F$6,DIMEL!$G$4:$G$6)</xm:f>
          </x14:formula1>
          <xm:sqref>G43:I45</xm:sqref>
        </x14:dataValidation>
        <x14:dataValidation type="list" allowBlank="1" showInputMessage="1" showErrorMessage="1" xr:uid="{00000000-0002-0000-0B00-000005000000}">
          <x14:formula1>
            <xm:f>OFFSET(ELSUBFASE!$A$3,1,MATCH($G$37,ELSUBFASE!$B$3:$U$3,0),5,1)</xm:f>
          </x14:formula1>
          <xm:sqref>K37:N39</xm:sqref>
        </x14:dataValidation>
        <x14:dataValidation type="list" allowBlank="1" showInputMessage="1" showErrorMessage="1" xr:uid="{00000000-0002-0000-0B00-000006000000}">
          <x14:formula1>
            <xm:f>CHOOSE(MATCH($C$37,DIMEL!$B$3:$G$3,0),DIMEL!$B$4:$B$8,DIMEL!$C$4:$C$7,DIMEL!$D$4:$D$6,DIMEL!$E$4:$E$5,DIMEL!$F$4:$F$6,DIMEL!$G$4:$G$6)</xm:f>
          </x14:formula1>
          <xm:sqref>G37:I39</xm:sqref>
        </x14:dataValidation>
        <x14:dataValidation type="list" allowBlank="1" showInputMessage="1" showErrorMessage="1" xr:uid="{00000000-0002-0000-0B00-000007000000}">
          <x14:formula1>
            <xm:f>OFFSET(ELSUBFASE!$A$3,1,MATCH($G$31,ELSUBFASE!$B$3:$U$3,0),5,1)</xm:f>
          </x14:formula1>
          <xm:sqref>K31:N34</xm:sqref>
        </x14:dataValidation>
        <x14:dataValidation type="list" allowBlank="1" showInputMessage="1" showErrorMessage="1" xr:uid="{00000000-0002-0000-0B00-000008000000}">
          <x14:formula1>
            <xm:f>CHOOSE(MATCH($C$31,DIMEL!$B$3:$G$3,0),DIMEL!$B$4:$B$8,DIMEL!$C$4:$C$7,DIMEL!$D$4:$D$6,DIMEL!$E$4:$E$5,DIMEL!$F$4:$F$6,DIMEL!$G$4:$G$6)</xm:f>
          </x14:formula1>
          <xm:sqref>G31:I34</xm:sqref>
        </x14:dataValidation>
        <x14:dataValidation type="list" allowBlank="1" showInputMessage="1" showErrorMessage="1" xr:uid="{00000000-0002-0000-0B00-000009000000}">
          <x14:formula1>
            <xm:f>OFFSET(ELSUBFASE!$A$3,1,MATCH($G$25,ELSUBFASE!$B$3:$U$3,0),5,1)</xm:f>
          </x14:formula1>
          <xm:sqref>K25:N27</xm:sqref>
        </x14:dataValidation>
        <x14:dataValidation type="list" allowBlank="1" showInputMessage="1" showErrorMessage="1" xr:uid="{00000000-0002-0000-0B00-00000A000000}">
          <x14:formula1>
            <xm:f>CHOOSE(MATCH($C$25,DIMEL!$B$3:$G$3,0),DIMEL!$B$4:$B$8,DIMEL!$C$4:$C$7,DIMEL!$D$4:$D$6,DIMEL!$E$4:$E$5,DIMEL!$F$4:$F$6,DIMEL!$G$4:$G$6)</xm:f>
          </x14:formula1>
          <xm:sqref>G25:I27</xm:sqref>
        </x14:dataValidation>
        <x14:dataValidation type="list" allowBlank="1" showInputMessage="1" showErrorMessage="1" xr:uid="{00000000-0002-0000-0B00-00000B000000}">
          <x14:formula1>
            <xm:f>OFFSET(ELSUBFASE!$A$3,1,MATCH($G$19,ELSUBFASE!$B$3:$U$3,0),5,1)</xm:f>
          </x14:formula1>
          <xm:sqref>K19:N21</xm:sqref>
        </x14:dataValidation>
        <x14:dataValidation type="list" allowBlank="1" showInputMessage="1" showErrorMessage="1" xr:uid="{00000000-0002-0000-0B00-00000C000000}">
          <x14:formula1>
            <xm:f>CHOOSE(MATCH($C$19,DIMEL!$B$3:$G$3,0),DIMEL!$B$4:$B$8,DIMEL!$C$4:$C$7,DIMEL!$D$4:$D$6,DIMEL!$E$4:$E$5,DIMEL!$F$4:$F$6,DIMEL!$G$4:$G$6)</xm:f>
          </x14:formula1>
          <xm:sqref>G19:I21</xm:sqref>
        </x14:dataValidation>
        <x14:dataValidation type="list" allowBlank="1" showInputMessage="1" showErrorMessage="1" xr:uid="{00000000-0002-0000-0B00-00000D000000}">
          <x14:formula1>
            <xm:f>ELSUBFASE!$C$10:$H$10</xm:f>
          </x14:formula1>
          <xm:sqref>E7</xm:sqref>
        </x14:dataValidation>
        <x14:dataValidation type="list" allowBlank="1" showInputMessage="1" showErrorMessage="1" xr:uid="{00000000-0002-0000-0B00-00000E000000}">
          <x14:formula1>
            <xm:f>OFFSET(ELSUBFASE!$A$3,1,MATCH($G$13,ELSUBFASE!$B$3:$U$3,0),5,1)</xm:f>
          </x14:formula1>
          <xm:sqref>K13:N15</xm:sqref>
        </x14:dataValidation>
        <x14:dataValidation type="list" allowBlank="1" showInputMessage="1" showErrorMessage="1" xr:uid="{00000000-0002-0000-0B00-00000F000000}">
          <x14:formula1>
            <xm:f>CHOOSE(MATCH($C$13,DIMEL!$B$3:$G$3,0),DIMEL!$B$4:$B$8,DIMEL!$C$4:$C$7,DIMEL!$D$4:$D$6,DIMEL!$E$4:$E$5,DIMEL!$F$4:$F$6,DIMEL!$G$4:$G$6)</xm:f>
          </x14:formula1>
          <xm:sqref>G13</xm:sqref>
        </x14:dataValidation>
        <x14:dataValidation type="list" allowBlank="1" showInputMessage="1" showErrorMessage="1" xr:uid="{00000000-0002-0000-0B00-000010000000}">
          <x14:formula1>
            <xm:f>DIMEL!$B$3:$G$3</xm:f>
          </x14:formula1>
          <xm:sqref>C13 C19 C25 C31 C37 C43 C49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K69"/>
  <sheetViews>
    <sheetView zoomScale="95" zoomScaleNormal="95" workbookViewId="0">
      <selection activeCell="S9" sqref="S9"/>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17" t="s">
        <v>476</v>
      </c>
      <c r="D3" s="318"/>
      <c r="E3" s="318"/>
      <c r="F3" s="318"/>
      <c r="G3" s="318"/>
      <c r="H3" s="318"/>
      <c r="I3" s="318"/>
      <c r="J3" s="318"/>
      <c r="K3" s="318"/>
      <c r="L3" s="318"/>
      <c r="M3" s="318"/>
      <c r="N3" s="318"/>
      <c r="O3" s="318"/>
      <c r="P3" s="318"/>
      <c r="Q3" s="318"/>
      <c r="R3" s="318"/>
      <c r="S3" s="318"/>
      <c r="T3" s="318"/>
      <c r="U3" s="318"/>
      <c r="V3" s="318"/>
      <c r="W3" s="318"/>
      <c r="X3" s="318"/>
      <c r="Y3" s="318"/>
      <c r="Z3" s="318"/>
      <c r="AA3" s="318"/>
      <c r="AB3" s="318"/>
      <c r="AC3" s="318"/>
      <c r="AD3" s="318"/>
      <c r="AE3" s="318"/>
      <c r="AF3" s="319"/>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444</v>
      </c>
      <c r="C5" s="131"/>
      <c r="D5" s="132">
        <f>IDENTITAS!H7</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PROYEK2!E7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PROYEK2!E8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552</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45" t="s">
        <v>33</v>
      </c>
      <c r="D11" s="345" t="s">
        <v>459</v>
      </c>
      <c r="E11" s="341">
        <f>PROYEK2!C13</f>
        <v>0</v>
      </c>
      <c r="F11" s="342"/>
      <c r="G11" s="342"/>
      <c r="H11" s="342"/>
      <c r="I11" s="342">
        <f>PROYEK2!C19</f>
        <v>0</v>
      </c>
      <c r="J11" s="342"/>
      <c r="K11" s="342"/>
      <c r="L11" s="342"/>
      <c r="M11" s="343">
        <f>PROYEK2!C25</f>
        <v>0</v>
      </c>
      <c r="N11" s="343"/>
      <c r="O11" s="343"/>
      <c r="P11" s="343"/>
      <c r="Q11" s="344">
        <f>PROYEK2!C31</f>
        <v>0</v>
      </c>
      <c r="R11" s="344"/>
      <c r="S11" s="344"/>
      <c r="T11" s="344"/>
      <c r="U11" s="344">
        <f>PROYEK2!C37</f>
        <v>0</v>
      </c>
      <c r="V11" s="344"/>
      <c r="W11" s="344"/>
      <c r="X11" s="344"/>
      <c r="Y11" s="344">
        <f>PROYEK2!C43</f>
        <v>0</v>
      </c>
      <c r="Z11" s="344"/>
      <c r="AA11" s="344"/>
      <c r="AB11" s="344"/>
      <c r="AC11" s="342">
        <f>PROYEK2!C49</f>
        <v>0</v>
      </c>
      <c r="AD11" s="342"/>
      <c r="AE11" s="342"/>
      <c r="AF11" s="342"/>
      <c r="AG11" s="105"/>
      <c r="AH11" s="1"/>
      <c r="AI11" s="2"/>
      <c r="AJ11" s="2"/>
      <c r="AK11" s="2"/>
    </row>
    <row r="12" spans="1:37" ht="66" customHeight="1" thickBot="1" x14ac:dyDescent="0.3">
      <c r="A12" s="1"/>
      <c r="B12" s="105"/>
      <c r="C12" s="345"/>
      <c r="D12" s="345"/>
      <c r="E12" s="323" t="e">
        <f>PROYEK2!P13</f>
        <v>#N/A</v>
      </c>
      <c r="F12" s="324"/>
      <c r="G12" s="324"/>
      <c r="H12" s="325"/>
      <c r="I12" s="326" t="e">
        <f>PROYEK2!P19</f>
        <v>#N/A</v>
      </c>
      <c r="J12" s="327"/>
      <c r="K12" s="327"/>
      <c r="L12" s="328"/>
      <c r="M12" s="329" t="e">
        <f>PROYEK2!P25</f>
        <v>#N/A</v>
      </c>
      <c r="N12" s="330"/>
      <c r="O12" s="330"/>
      <c r="P12" s="331"/>
      <c r="Q12" s="418" t="e">
        <f>PROYEK2!P31</f>
        <v>#N/A</v>
      </c>
      <c r="R12" s="419"/>
      <c r="S12" s="419"/>
      <c r="T12" s="420"/>
      <c r="U12" s="421" t="e">
        <f>PROYEK2!P37</f>
        <v>#N/A</v>
      </c>
      <c r="V12" s="422"/>
      <c r="W12" s="422"/>
      <c r="X12" s="423"/>
      <c r="Y12" s="412" t="e">
        <f>PROYEK2!P43</f>
        <v>#N/A</v>
      </c>
      <c r="Z12" s="413"/>
      <c r="AA12" s="413"/>
      <c r="AB12" s="414"/>
      <c r="AC12" s="415" t="e">
        <f>PROYEK2!P49</f>
        <v>#N/A</v>
      </c>
      <c r="AD12" s="416"/>
      <c r="AE12" s="416"/>
      <c r="AF12" s="417"/>
      <c r="AG12" s="105"/>
      <c r="AH12" s="1"/>
      <c r="AI12" s="2"/>
      <c r="AJ12" s="2"/>
      <c r="AK12" s="2"/>
    </row>
    <row r="13" spans="1:37" ht="23.25" customHeight="1" thickBot="1" x14ac:dyDescent="0.3">
      <c r="A13" s="1"/>
      <c r="B13" s="105"/>
      <c r="C13" s="345"/>
      <c r="D13" s="345"/>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4"/>
      <c r="L14" s="188"/>
      <c r="M14" s="186"/>
      <c r="N14" s="187"/>
      <c r="O14" s="184"/>
      <c r="P14" s="188"/>
      <c r="Q14" s="186"/>
      <c r="R14" s="187"/>
      <c r="S14" s="184"/>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U12:X12"/>
    <mergeCell ref="Y12:AB12"/>
    <mergeCell ref="C3:AF3"/>
    <mergeCell ref="C11:C13"/>
    <mergeCell ref="D11:D13"/>
    <mergeCell ref="E11:H11"/>
    <mergeCell ref="I11:L11"/>
    <mergeCell ref="M11:P11"/>
    <mergeCell ref="Q11:T11"/>
    <mergeCell ref="U11:X11"/>
    <mergeCell ref="Y11:AB11"/>
    <mergeCell ref="AC11:AF11"/>
    <mergeCell ref="AC12:AF12"/>
    <mergeCell ref="E12:H12"/>
    <mergeCell ref="I12:L12"/>
    <mergeCell ref="M12:P12"/>
    <mergeCell ref="Q12:T12"/>
  </mergeCells>
  <dataValidations count="4">
    <dataValidation allowBlank="1" showInputMessage="1" showErrorMessage="1" promptTitle="Sangat Berkembang" prompt="Siswa mengembangkan kemampuannya melampaui harapan" sqref="F9" xr:uid="{00000000-0002-0000-0C00-000000000000}"/>
    <dataValidation allowBlank="1" showInputMessage="1" showErrorMessage="1" promptTitle="Berkembang Sesuai Harapan" prompt="Siswa telah mengembangkan kemampuan hingga berada dalam tahap ajek" sqref="F8" xr:uid="{00000000-0002-0000-0C00-000001000000}"/>
    <dataValidation allowBlank="1" showInputMessage="1" showErrorMessage="1" promptTitle="Mulai Berkembang" prompt="Siswa mulai mengembangkan kemampuan namun masih belum ajek" sqref="F7" xr:uid="{00000000-0002-0000-0C00-000002000000}"/>
    <dataValidation allowBlank="1" showInputMessage="1" showErrorMessage="1" promptTitle="Belum Berkembang" prompt="Siswa masih membutuhkan bimbingan dalam mengembangkan kemampuan" sqref="F6" xr:uid="{00000000-0002-0000-0C00-000003000000}"/>
  </dataValidations>
  <pageMargins left="0.7" right="0.7" top="0.75" bottom="0.75" header="0.3" footer="0.3"/>
  <pageSetup paperSize="9"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486</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446</v>
      </c>
      <c r="H6" s="173"/>
      <c r="I6" s="175" t="str">
        <f>": "&amp;IDENTITAS!H9</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A60"/>
  <sheetViews>
    <sheetView workbookViewId="0">
      <selection activeCell="G10" sqref="G10"/>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445</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446</v>
      </c>
      <c r="D6" s="63"/>
      <c r="E6" s="316">
        <f>IDENTITAS!$H$9</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447</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522</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 xml:space="preserve">Capaian Fase </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c r="D13" s="307"/>
      <c r="E13" s="308"/>
      <c r="F13" s="70"/>
      <c r="G13" s="306"/>
      <c r="H13" s="307"/>
      <c r="I13" s="308"/>
      <c r="J13" s="64"/>
      <c r="K13" s="306"/>
      <c r="L13" s="307"/>
      <c r="M13" s="307"/>
      <c r="N13" s="308"/>
      <c r="O13" s="64"/>
      <c r="P13" s="306" t="e">
        <f>INDEX(ELSUBFASE!$C$11:$H$52,MATCH(PROYEK3!K13,ELSUBFASE!$B$11:$B$52,0),MATCH(PROYEK3!E7,ELSUBFASE!$C$10:$H$10,0))</f>
        <v>#N/A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 xml:space="preserve">Capaian Fase </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c r="D19" s="307"/>
      <c r="E19" s="308"/>
      <c r="F19" s="70"/>
      <c r="G19" s="306"/>
      <c r="H19" s="307"/>
      <c r="I19" s="308"/>
      <c r="J19" s="64"/>
      <c r="K19" s="306"/>
      <c r="L19" s="307"/>
      <c r="M19" s="307"/>
      <c r="N19" s="308"/>
      <c r="O19" s="64"/>
      <c r="P19" s="306" t="e">
        <f>INDEX(ELSUBFASE!C11:H52,MATCH(PROYEK3!K19,ELSUBFASE!B11:B52,0),MATCH(PROYEK3!E7,ELSUBFASE!C10:H10,0))</f>
        <v>#N/A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 xml:space="preserve">Capaian Fase </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c r="D25" s="307"/>
      <c r="E25" s="308"/>
      <c r="F25" s="70"/>
      <c r="G25" s="306"/>
      <c r="H25" s="307"/>
      <c r="I25" s="308"/>
      <c r="J25" s="64"/>
      <c r="K25" s="306"/>
      <c r="L25" s="307"/>
      <c r="M25" s="307"/>
      <c r="N25" s="308"/>
      <c r="O25" s="64"/>
      <c r="P25" s="306" t="e">
        <f>INDEX(ELSUBFASE!C11:H52,MATCH(PROYEK3!K25,ELSUBFASE!B11:B52,0),MATCH(PROYEK3!E7,ELSUBFASE!C10:H10,0))</f>
        <v>#N/A</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 xml:space="preserve">Capaian Fase </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c r="D31" s="307"/>
      <c r="E31" s="308"/>
      <c r="F31" s="64"/>
      <c r="G31" s="306"/>
      <c r="H31" s="307"/>
      <c r="I31" s="308"/>
      <c r="J31" s="64"/>
      <c r="K31" s="306"/>
      <c r="L31" s="307"/>
      <c r="M31" s="307"/>
      <c r="N31" s="308"/>
      <c r="O31" s="64"/>
      <c r="P31" s="306" t="e">
        <f>INDEX(ELSUBFASE!C11:H52,MATCH(PROYEK3!K31,ELSUBFASE!B11:B52,0),MATCH(PROYEK3!E7,ELSUBFASE!C10:H10,0))</f>
        <v>#N/A</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 xml:space="preserve">Capaian Fase </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c r="D37" s="307"/>
      <c r="E37" s="308"/>
      <c r="F37" s="64"/>
      <c r="G37" s="306"/>
      <c r="H37" s="307"/>
      <c r="I37" s="308"/>
      <c r="J37" s="64"/>
      <c r="K37" s="306"/>
      <c r="L37" s="307"/>
      <c r="M37" s="307"/>
      <c r="N37" s="308"/>
      <c r="O37" s="64"/>
      <c r="P37" s="306" t="e">
        <f>INDEX(ELSUBFASE!C11:H52,MATCH(PROYEK3!K37,ELSUBFASE!B11:B52,0),MATCH(PROYEK3!E7,ELSUBFASE!C10:H10,0))</f>
        <v>#N/A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 xml:space="preserve">Capaian Fase </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c r="D43" s="307"/>
      <c r="E43" s="308"/>
      <c r="F43" s="64"/>
      <c r="G43" s="306"/>
      <c r="H43" s="307"/>
      <c r="I43" s="308"/>
      <c r="J43" s="64"/>
      <c r="K43" s="306"/>
      <c r="L43" s="307"/>
      <c r="M43" s="307"/>
      <c r="N43" s="308"/>
      <c r="O43" s="64"/>
      <c r="P43" s="306" t="e">
        <f>INDEX(ELSUBFASE!C11:H52,MATCH(PROYEK3!K43,ELSUBFASE!B11:B52,0),MATCH(PROYEK3!E7,ELSUBFASE!C10:H10,0))</f>
        <v>#N/A</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 xml:space="preserve">Capaian Fase </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c r="D49" s="307"/>
      <c r="E49" s="308"/>
      <c r="F49" s="64"/>
      <c r="G49" s="306"/>
      <c r="H49" s="307"/>
      <c r="I49" s="308"/>
      <c r="J49" s="64"/>
      <c r="K49" s="306"/>
      <c r="L49" s="307"/>
      <c r="M49" s="307"/>
      <c r="N49" s="308"/>
      <c r="O49" s="64"/>
      <c r="P49" s="306" t="e">
        <f>INDEX(ELSUBFASE!C11:H52,MATCH(PROYEK3!K49,ELSUBFASE!B11:B52,0),MATCH(PROYEK3!E7,ELSUBFASE!C10:H10,0))</f>
        <v>#N/A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9:E51"/>
    <mergeCell ref="G49:I51"/>
    <mergeCell ref="K49:N51"/>
    <mergeCell ref="P49:T51"/>
    <mergeCell ref="C43:E45"/>
    <mergeCell ref="G43:I45"/>
    <mergeCell ref="K43:N45"/>
    <mergeCell ref="P43:T45"/>
    <mergeCell ref="C47:E48"/>
    <mergeCell ref="G47:I48"/>
    <mergeCell ref="K47:N48"/>
    <mergeCell ref="P47:T48"/>
    <mergeCell ref="C37:E39"/>
    <mergeCell ref="G37:I39"/>
    <mergeCell ref="K37:N39"/>
    <mergeCell ref="P37:T39"/>
    <mergeCell ref="C41:E42"/>
    <mergeCell ref="G41:I42"/>
    <mergeCell ref="K41:N42"/>
    <mergeCell ref="P41:T42"/>
    <mergeCell ref="C31:E33"/>
    <mergeCell ref="G31:I33"/>
    <mergeCell ref="K31:N33"/>
    <mergeCell ref="P31:T33"/>
    <mergeCell ref="C35:E36"/>
    <mergeCell ref="G35:I36"/>
    <mergeCell ref="K35:N36"/>
    <mergeCell ref="P35:T36"/>
    <mergeCell ref="C25:E27"/>
    <mergeCell ref="G25:I27"/>
    <mergeCell ref="K25:N27"/>
    <mergeCell ref="P25:T27"/>
    <mergeCell ref="C29:E30"/>
    <mergeCell ref="G29:I30"/>
    <mergeCell ref="K29:N30"/>
    <mergeCell ref="P29:T30"/>
    <mergeCell ref="C19:E21"/>
    <mergeCell ref="G19:I21"/>
    <mergeCell ref="K19:N21"/>
    <mergeCell ref="P19:T21"/>
    <mergeCell ref="C23:E24"/>
    <mergeCell ref="G23:I24"/>
    <mergeCell ref="K23:N24"/>
    <mergeCell ref="P23:T24"/>
    <mergeCell ref="C13:E15"/>
    <mergeCell ref="G13:I15"/>
    <mergeCell ref="K13:N15"/>
    <mergeCell ref="P13:T15"/>
    <mergeCell ref="C17:E18"/>
    <mergeCell ref="G17:I18"/>
    <mergeCell ref="K17:N18"/>
    <mergeCell ref="P17:T18"/>
    <mergeCell ref="C3:T3"/>
    <mergeCell ref="E6:I6"/>
    <mergeCell ref="C11:E12"/>
    <mergeCell ref="G11:I12"/>
    <mergeCell ref="K11:N12"/>
    <mergeCell ref="P11:T12"/>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E00-000000000000}">
          <x14:formula1>
            <xm:f>DIMEL!$B$3:$G$3</xm:f>
          </x14:formula1>
          <xm:sqref>C13 C19 C25 C31 C37 C43 C49</xm:sqref>
        </x14:dataValidation>
        <x14:dataValidation type="list" allowBlank="1" showInputMessage="1" showErrorMessage="1" xr:uid="{00000000-0002-0000-0E00-000001000000}">
          <x14:formula1>
            <xm:f>CHOOSE(MATCH($C$13,DIMEL!$B$3:$G$3,0),DIMEL!$B$4:$B$8,DIMEL!$C$4:$C$7,DIMEL!$D$4:$D$6,DIMEL!$E$4:$E$5,DIMEL!$F$4:$F$6,DIMEL!$G$4:$G$6)</xm:f>
          </x14:formula1>
          <xm:sqref>G13</xm:sqref>
        </x14:dataValidation>
        <x14:dataValidation type="list" allowBlank="1" showInputMessage="1" showErrorMessage="1" xr:uid="{00000000-0002-0000-0E00-000002000000}">
          <x14:formula1>
            <xm:f>OFFSET(ELSUBFASE!$A$3,1,MATCH($G$13,ELSUBFASE!$B$3:$U$3,0),5,1)</xm:f>
          </x14:formula1>
          <xm:sqref>K13:N15</xm:sqref>
        </x14:dataValidation>
        <x14:dataValidation type="list" allowBlank="1" showInputMessage="1" showErrorMessage="1" xr:uid="{00000000-0002-0000-0E00-000003000000}">
          <x14:formula1>
            <xm:f>ELSUBFASE!$C$10:$H$10</xm:f>
          </x14:formula1>
          <xm:sqref>E7</xm:sqref>
        </x14:dataValidation>
        <x14:dataValidation type="list" allowBlank="1" showInputMessage="1" showErrorMessage="1" xr:uid="{00000000-0002-0000-0E00-000004000000}">
          <x14:formula1>
            <xm:f>CHOOSE(MATCH($C$19,DIMEL!$B$3:$G$3,0),DIMEL!$B$4:$B$8,DIMEL!$C$4:$C$7,DIMEL!$D$4:$D$6,DIMEL!$E$4:$E$5,DIMEL!$F$4:$F$6,DIMEL!$G$4:$G$6)</xm:f>
          </x14:formula1>
          <xm:sqref>G19:I21</xm:sqref>
        </x14:dataValidation>
        <x14:dataValidation type="list" allowBlank="1" showInputMessage="1" showErrorMessage="1" xr:uid="{00000000-0002-0000-0E00-000005000000}">
          <x14:formula1>
            <xm:f>OFFSET(ELSUBFASE!$A$3,1,MATCH($G$19,ELSUBFASE!$B$3:$U$3,0),5,1)</xm:f>
          </x14:formula1>
          <xm:sqref>K19:N21</xm:sqref>
        </x14:dataValidation>
        <x14:dataValidation type="list" allowBlank="1" showInputMessage="1" showErrorMessage="1" xr:uid="{00000000-0002-0000-0E00-000006000000}">
          <x14:formula1>
            <xm:f>CHOOSE(MATCH($C$25,DIMEL!$B$3:$G$3,0),DIMEL!$B$4:$B$8,DIMEL!$C$4:$C$7,DIMEL!$D$4:$D$6,DIMEL!$E$4:$E$5,DIMEL!$F$4:$F$6,DIMEL!$G$4:$G$6)</xm:f>
          </x14:formula1>
          <xm:sqref>G25:I27</xm:sqref>
        </x14:dataValidation>
        <x14:dataValidation type="list" allowBlank="1" showInputMessage="1" showErrorMessage="1" xr:uid="{00000000-0002-0000-0E00-000007000000}">
          <x14:formula1>
            <xm:f>OFFSET(ELSUBFASE!$A$3,1,MATCH($G$25,ELSUBFASE!$B$3:$U$3,0),5,1)</xm:f>
          </x14:formula1>
          <xm:sqref>K25:N27</xm:sqref>
        </x14:dataValidation>
        <x14:dataValidation type="list" allowBlank="1" showInputMessage="1" showErrorMessage="1" xr:uid="{00000000-0002-0000-0E00-000008000000}">
          <x14:formula1>
            <xm:f>CHOOSE(MATCH($C$31,DIMEL!$B$3:$G$3,0),DIMEL!$B$4:$B$8,DIMEL!$C$4:$C$7,DIMEL!$D$4:$D$6,DIMEL!$E$4:$E$5,DIMEL!$F$4:$F$6,DIMEL!$G$4:$G$6)</xm:f>
          </x14:formula1>
          <xm:sqref>G31:I34</xm:sqref>
        </x14:dataValidation>
        <x14:dataValidation type="list" allowBlank="1" showInputMessage="1" showErrorMessage="1" xr:uid="{00000000-0002-0000-0E00-000009000000}">
          <x14:formula1>
            <xm:f>OFFSET(ELSUBFASE!$A$3,1,MATCH($G$31,ELSUBFASE!$B$3:$U$3,0),5,1)</xm:f>
          </x14:formula1>
          <xm:sqref>K31:N34</xm:sqref>
        </x14:dataValidation>
        <x14:dataValidation type="list" allowBlank="1" showInputMessage="1" showErrorMessage="1" xr:uid="{00000000-0002-0000-0E00-00000A000000}">
          <x14:formula1>
            <xm:f>CHOOSE(MATCH($C$37,DIMEL!$B$3:$G$3,0),DIMEL!$B$4:$B$8,DIMEL!$C$4:$C$7,DIMEL!$D$4:$D$6,DIMEL!$E$4:$E$5,DIMEL!$F$4:$F$6,DIMEL!$G$4:$G$6)</xm:f>
          </x14:formula1>
          <xm:sqref>G37:I39</xm:sqref>
        </x14:dataValidation>
        <x14:dataValidation type="list" allowBlank="1" showInputMessage="1" showErrorMessage="1" xr:uid="{00000000-0002-0000-0E00-00000B000000}">
          <x14:formula1>
            <xm:f>OFFSET(ELSUBFASE!$A$3,1,MATCH($G$37,ELSUBFASE!$B$3:$U$3,0),5,1)</xm:f>
          </x14:formula1>
          <xm:sqref>K37:N39</xm:sqref>
        </x14:dataValidation>
        <x14:dataValidation type="list" allowBlank="1" showInputMessage="1" showErrorMessage="1" xr:uid="{00000000-0002-0000-0E00-00000C000000}">
          <x14:formula1>
            <xm:f>CHOOSE(MATCH($C$43,DIMEL!$B$3:$G$3,0),DIMEL!$B$4:$B$8,DIMEL!$C$4:$C$7,DIMEL!$D$4:$D$6,DIMEL!$E$4:$E$5,DIMEL!$F$4:$F$6,DIMEL!$G$4:$G$6)</xm:f>
          </x14:formula1>
          <xm:sqref>G43:I45</xm:sqref>
        </x14:dataValidation>
        <x14:dataValidation type="list" allowBlank="1" showInputMessage="1" showErrorMessage="1" xr:uid="{00000000-0002-0000-0E00-00000D000000}">
          <x14:formula1>
            <xm:f>OFFSET(ELSUBFASE!$A$3,1,MATCH($G$43,ELSUBFASE!$B$3:$U$3,0),5,1)</xm:f>
          </x14:formula1>
          <xm:sqref>K43:N45</xm:sqref>
        </x14:dataValidation>
        <x14:dataValidation type="list" allowBlank="1" showInputMessage="1" showErrorMessage="1" xr:uid="{00000000-0002-0000-0E00-00000E000000}">
          <x14:formula1>
            <xm:f>CHOOSE(MATCH($C$49,DIMEL!$B$3:$G$3,0),DIMEL!$B$4:$B$8,DIMEL!$C$4:$C$7,DIMEL!$D$4:$D$6,DIMEL!$E$4:$E$5,DIMEL!$F$4:$F$6,DIMEL!$G$4:$G$6)</xm:f>
          </x14:formula1>
          <xm:sqref>G49:I51</xm:sqref>
        </x14:dataValidation>
        <x14:dataValidation type="list" allowBlank="1" showInputMessage="1" showErrorMessage="1" xr:uid="{00000000-0002-0000-0E00-00000F000000}">
          <x14:formula1>
            <xm:f>OFFSET(ELSUBFASE!$A$3,1,MATCH($G$49,ELSUBFASE!$B$3:$U$3,0),5,1)</xm:f>
          </x14:formula1>
          <xm:sqref>K49:N51</xm:sqref>
        </x14:dataValidation>
        <x14:dataValidation type="list" allowBlank="1" showInputMessage="1" showErrorMessage="1" xr:uid="{00000000-0002-0000-0E00-000010000000}">
          <x14:formula1>
            <xm:f>DIMEL!$B$10:$B$23</xm:f>
          </x14:formula1>
          <xm:sqref>E8:E9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K69"/>
  <sheetViews>
    <sheetView zoomScale="95" zoomScaleNormal="95" workbookViewId="0">
      <selection activeCell="R5" sqref="R5"/>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17" t="s">
        <v>477</v>
      </c>
      <c r="D3" s="318"/>
      <c r="E3" s="318"/>
      <c r="F3" s="318"/>
      <c r="G3" s="318"/>
      <c r="H3" s="318"/>
      <c r="I3" s="318"/>
      <c r="J3" s="318"/>
      <c r="K3" s="318"/>
      <c r="L3" s="318"/>
      <c r="M3" s="318"/>
      <c r="N3" s="318"/>
      <c r="O3" s="318"/>
      <c r="P3" s="318"/>
      <c r="Q3" s="318"/>
      <c r="R3" s="318"/>
      <c r="S3" s="318"/>
      <c r="T3" s="318"/>
      <c r="U3" s="318"/>
      <c r="V3" s="318"/>
      <c r="W3" s="318"/>
      <c r="X3" s="318"/>
      <c r="Y3" s="318"/>
      <c r="Z3" s="318"/>
      <c r="AA3" s="318"/>
      <c r="AB3" s="318"/>
      <c r="AC3" s="318"/>
      <c r="AD3" s="318"/>
      <c r="AE3" s="318"/>
      <c r="AF3" s="319"/>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446</v>
      </c>
      <c r="C5" s="131"/>
      <c r="D5" s="132">
        <f>IDENTITAS!H9</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PROYEK3!E7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PROYEK3!E8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552</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45" t="s">
        <v>33</v>
      </c>
      <c r="D11" s="345" t="s">
        <v>459</v>
      </c>
      <c r="E11" s="341">
        <f>PROYEK3!C13</f>
        <v>0</v>
      </c>
      <c r="F11" s="342"/>
      <c r="G11" s="342"/>
      <c r="H11" s="342"/>
      <c r="I11" s="342">
        <f>PROYEK3!C19</f>
        <v>0</v>
      </c>
      <c r="J11" s="342"/>
      <c r="K11" s="342"/>
      <c r="L11" s="342"/>
      <c r="M11" s="343">
        <f>PROYEK3!C25</f>
        <v>0</v>
      </c>
      <c r="N11" s="343"/>
      <c r="O11" s="343"/>
      <c r="P11" s="343"/>
      <c r="Q11" s="344">
        <f>PROYEK3!C31</f>
        <v>0</v>
      </c>
      <c r="R11" s="344"/>
      <c r="S11" s="344"/>
      <c r="T11" s="344"/>
      <c r="U11" s="344">
        <f>PROYEK3!C37</f>
        <v>0</v>
      </c>
      <c r="V11" s="344"/>
      <c r="W11" s="344"/>
      <c r="X11" s="344"/>
      <c r="Y11" s="344">
        <f>PROYEK3!C43</f>
        <v>0</v>
      </c>
      <c r="Z11" s="344"/>
      <c r="AA11" s="344"/>
      <c r="AB11" s="344"/>
      <c r="AC11" s="342">
        <f>PROYEK3!C49</f>
        <v>0</v>
      </c>
      <c r="AD11" s="342"/>
      <c r="AE11" s="342"/>
      <c r="AF11" s="342"/>
      <c r="AG11" s="105"/>
      <c r="AH11" s="1"/>
      <c r="AI11" s="2"/>
      <c r="AJ11" s="2"/>
      <c r="AK11" s="2"/>
    </row>
    <row r="12" spans="1:37" ht="66" customHeight="1" thickBot="1" x14ac:dyDescent="0.3">
      <c r="A12" s="1"/>
      <c r="B12" s="105"/>
      <c r="C12" s="345"/>
      <c r="D12" s="345"/>
      <c r="E12" s="323" t="e">
        <f>PROYEK3!P13</f>
        <v>#N/A</v>
      </c>
      <c r="F12" s="324"/>
      <c r="G12" s="324"/>
      <c r="H12" s="325"/>
      <c r="I12" s="326" t="e">
        <f>PROYEK3!P19</f>
        <v>#N/A</v>
      </c>
      <c r="J12" s="327"/>
      <c r="K12" s="327"/>
      <c r="L12" s="328"/>
      <c r="M12" s="329" t="e">
        <f>PROYEK3!P25</f>
        <v>#N/A</v>
      </c>
      <c r="N12" s="330"/>
      <c r="O12" s="330"/>
      <c r="P12" s="331"/>
      <c r="Q12" s="418" t="e">
        <f>PROYEK3!P31</f>
        <v>#N/A</v>
      </c>
      <c r="R12" s="419"/>
      <c r="S12" s="419"/>
      <c r="T12" s="420"/>
      <c r="U12" s="421" t="e">
        <f>PROYEK3!P37</f>
        <v>#N/A</v>
      </c>
      <c r="V12" s="422"/>
      <c r="W12" s="422"/>
      <c r="X12" s="423"/>
      <c r="Y12" s="412" t="e">
        <f>PROYEK3!P43</f>
        <v>#N/A</v>
      </c>
      <c r="Z12" s="413"/>
      <c r="AA12" s="413"/>
      <c r="AB12" s="414"/>
      <c r="AC12" s="415" t="e">
        <f>PROYEK3!P49</f>
        <v>#N/A</v>
      </c>
      <c r="AD12" s="416"/>
      <c r="AE12" s="416"/>
      <c r="AF12" s="417"/>
      <c r="AG12" s="105"/>
      <c r="AH12" s="1"/>
      <c r="AI12" s="2"/>
      <c r="AJ12" s="2"/>
      <c r="AK12" s="2"/>
    </row>
    <row r="13" spans="1:37" ht="23.25" customHeight="1" thickBot="1" x14ac:dyDescent="0.3">
      <c r="A13" s="1"/>
      <c r="B13" s="105"/>
      <c r="C13" s="345"/>
      <c r="D13" s="345"/>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7"/>
      <c r="L14" s="188"/>
      <c r="M14" s="186"/>
      <c r="N14" s="187"/>
      <c r="O14" s="187"/>
      <c r="P14" s="188"/>
      <c r="Q14" s="186"/>
      <c r="R14" s="187"/>
      <c r="S14" s="187"/>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U12:X12"/>
    <mergeCell ref="Y12:AB12"/>
    <mergeCell ref="C3:AF3"/>
    <mergeCell ref="C11:C13"/>
    <mergeCell ref="D11:D13"/>
    <mergeCell ref="E11:H11"/>
    <mergeCell ref="I11:L11"/>
    <mergeCell ref="M11:P11"/>
    <mergeCell ref="Q11:T11"/>
    <mergeCell ref="U11:X11"/>
    <mergeCell ref="Y11:AB11"/>
    <mergeCell ref="AC11:AF11"/>
    <mergeCell ref="AC12:AF12"/>
    <mergeCell ref="E12:H12"/>
    <mergeCell ref="I12:L12"/>
    <mergeCell ref="M12:P12"/>
    <mergeCell ref="Q12:T12"/>
  </mergeCells>
  <dataValidations count="4">
    <dataValidation allowBlank="1" showInputMessage="1" showErrorMessage="1" promptTitle="Belum Berkembang" prompt="Siswa masih membutuhkan bimbingan dalam mengembangkan kemampuan" sqref="F6" xr:uid="{00000000-0002-0000-0F00-000000000000}"/>
    <dataValidation allowBlank="1" showInputMessage="1" showErrorMessage="1" promptTitle="Mulai Berkembang" prompt="Siswa mulai mengembangkan kemampuan namun masih belum ajek" sqref="F7" xr:uid="{00000000-0002-0000-0F00-000001000000}"/>
    <dataValidation allowBlank="1" showInputMessage="1" showErrorMessage="1" promptTitle="Berkembang Sesuai Harapan" prompt="Siswa telah mengembangkan kemampuan hingga berada dalam tahap ajek" sqref="F8" xr:uid="{00000000-0002-0000-0F00-000002000000}"/>
    <dataValidation allowBlank="1" showInputMessage="1" showErrorMessage="1" promptTitle="Sangat Berkembang" prompt="Siswa mengembangkan kemampuannya melampaui harapan" sqref="F9" xr:uid="{00000000-0002-0000-0F00-000003000000}"/>
  </dataValidations>
  <pageMargins left="0.7" right="0.7" top="0.75" bottom="0.75" header="0.3" footer="0.3"/>
  <pageSetup paperSize="9"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487</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450</v>
      </c>
      <c r="H6" s="173"/>
      <c r="I6" s="175" t="str">
        <f>": "&amp;IDENTITAS!H11</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A60"/>
  <sheetViews>
    <sheetView workbookViewId="0">
      <selection activeCell="C3" sqref="C3:T3"/>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449</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450</v>
      </c>
      <c r="D6" s="63"/>
      <c r="E6" s="316">
        <f>IDENTITAS!$H$11</f>
        <v>0</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451</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Capaian Fase D</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t="s">
        <v>49</v>
      </c>
      <c r="D13" s="307"/>
      <c r="E13" s="308"/>
      <c r="F13" s="70"/>
      <c r="G13" s="306" t="s">
        <v>62</v>
      </c>
      <c r="H13" s="307"/>
      <c r="I13" s="308"/>
      <c r="J13" s="64"/>
      <c r="K13" s="306" t="s">
        <v>99</v>
      </c>
      <c r="L13" s="307"/>
      <c r="M13" s="307"/>
      <c r="N13" s="308"/>
      <c r="O13" s="64"/>
      <c r="P13" s="306" t="str">
        <f>INDEX(ELSUBFASE!$C$11:$H$52,MATCH(PROYEK4!K13,ELSUBFASE!$B$11:$B$52,0),MATCH(PROYEK4!E7,ELSUBFASE!$C$10:$H$10,0))</f>
        <v>Merefleksikan secara kritis gambaran berbagai kelompok budaya yang ditemui dan cara meresponnya.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Capaian Fase D</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t="s">
        <v>52</v>
      </c>
      <c r="D19" s="307"/>
      <c r="E19" s="308"/>
      <c r="F19" s="70"/>
      <c r="G19" s="306" t="s">
        <v>71</v>
      </c>
      <c r="H19" s="307"/>
      <c r="I19" s="308"/>
      <c r="J19" s="64"/>
      <c r="K19" s="306" t="s">
        <v>129</v>
      </c>
      <c r="L19" s="307"/>
      <c r="M19" s="307"/>
      <c r="N19" s="308"/>
      <c r="O19" s="64"/>
      <c r="P19" s="306" t="str">
        <f>INDEX(ELSUBFASE!C11:H52,MATCH(PROYEK4!K19,ELSUBFASE!B11:B52,0),MATCH(PROYEK4!E7,ELSUBFASE!C10:H10,0))</f>
        <v>Menjelaskan asumsi yang digunakan, menyadari kecenderungan dan konsekuensi bias pada pemikirannya, serta berusaha mempertimbangkan perspektif yang berbeda.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Capaian Fase D</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t="s">
        <v>50</v>
      </c>
      <c r="D25" s="307"/>
      <c r="E25" s="308"/>
      <c r="F25" s="70"/>
      <c r="G25" s="306" t="s">
        <v>65</v>
      </c>
      <c r="H25" s="307"/>
      <c r="I25" s="308"/>
      <c r="J25" s="64"/>
      <c r="K25" s="306" t="s">
        <v>113</v>
      </c>
      <c r="L25" s="307"/>
      <c r="M25" s="307"/>
      <c r="N25" s="308"/>
      <c r="O25" s="64"/>
      <c r="P25" s="306" t="str">
        <f>INDEX(ELSUBFASE!C11:H52,MATCH(PROYEK4!K25,ELSUBFASE!B11:B52,0),MATCH(PROYEK4!E7,ELSUBFASE!C10:H10,0))</f>
        <v>Menggunakan pengetahuan tentang sebab dan alasan orang lain menampilkan reaksi tertentu untuk menentukan tindakan yang tepat agar orang lain menampilkan respon yang diharapkan.</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Capaian Fase D</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t="s">
        <v>51</v>
      </c>
      <c r="D31" s="307"/>
      <c r="E31" s="308"/>
      <c r="F31" s="64"/>
      <c r="G31" s="306" t="s">
        <v>68</v>
      </c>
      <c r="H31" s="307"/>
      <c r="I31" s="308"/>
      <c r="J31" s="64"/>
      <c r="K31" s="306" t="s">
        <v>120</v>
      </c>
      <c r="L31" s="307"/>
      <c r="M31" s="307"/>
      <c r="N31" s="308"/>
      <c r="O31" s="64"/>
      <c r="P31" s="306" t="str">
        <f>INDEX(ELSUBFASE!C11:H52,MATCH(PROYEK4!K31,ELSUBFASE!B11:B52,0),MATCH(PROYEK4!E7,ELSUBFASE!C10:H10,0))</f>
        <v>Merancang strategi yang sesuai untuk menunjang pencapaian tujuan belajar, prestasi, dan pengembangan diri dengan mempertimbangkan kekuatan dan kelemahan dirinya, serta situasi yang dihadapi.</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Capaian Fase D</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t="s">
        <v>52</v>
      </c>
      <c r="D37" s="307"/>
      <c r="E37" s="308"/>
      <c r="F37" s="64"/>
      <c r="G37" s="306" t="s">
        <v>71</v>
      </c>
      <c r="H37" s="307"/>
      <c r="I37" s="308"/>
      <c r="J37" s="64"/>
      <c r="K37" s="306" t="s">
        <v>129</v>
      </c>
      <c r="L37" s="307"/>
      <c r="M37" s="307"/>
      <c r="N37" s="308"/>
      <c r="O37" s="64"/>
      <c r="P37" s="306" t="str">
        <f>INDEX(ELSUBFASE!C11:H52,MATCH(PROYEK4!K37,ELSUBFASE!B11:B52,0),MATCH(PROYEK4!E7,ELSUBFASE!C10:H10,0))</f>
        <v>Menjelaskan asumsi yang digunakan, menyadari kecenderungan dan konsekuensi bias pada pemikirannya, serta berusaha mempertimbangkan perspektif yang berbeda.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Capaian Fase D</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t="s">
        <v>53</v>
      </c>
      <c r="D43" s="307"/>
      <c r="E43" s="308"/>
      <c r="F43" s="64"/>
      <c r="G43" s="306" t="s">
        <v>70</v>
      </c>
      <c r="H43" s="307"/>
      <c r="I43" s="308"/>
      <c r="J43" s="64"/>
      <c r="K43" s="306" t="s">
        <v>70</v>
      </c>
      <c r="L43" s="307"/>
      <c r="M43" s="307"/>
      <c r="N43" s="308"/>
      <c r="O43" s="64"/>
      <c r="P43" s="306" t="str">
        <f>INDEX(ELSUBFASE!C11:H52,MATCH(PROYEK4!K43,ELSUBFASE!B11:B52,0),MATCH(PROYEK4!E7,ELSUBFASE!C10:H10,0))</f>
        <v>Membuktikan penalaran dengan berbagai argumen dalam mengambil suatu simpulan atau keputusan.</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Capaian Fase D</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t="s">
        <v>49</v>
      </c>
      <c r="D49" s="307"/>
      <c r="E49" s="308"/>
      <c r="F49" s="64"/>
      <c r="G49" s="306" t="s">
        <v>61</v>
      </c>
      <c r="H49" s="307"/>
      <c r="I49" s="308"/>
      <c r="J49" s="64"/>
      <c r="K49" s="306" t="s">
        <v>96</v>
      </c>
      <c r="L49" s="307"/>
      <c r="M49" s="307"/>
      <c r="N49" s="308"/>
      <c r="O49" s="64"/>
      <c r="P49" s="306" t="str">
        <f>INDEX(ELSUBFASE!C11:H52,MATCH(PROYEK4!K49,ELSUBFASE!B11:B52,0),MATCH(PROYEK4!E7,ELSUBFASE!C10:H10,0))</f>
        <v>Mengeksplorasi pengaruh budaya terhadap penggunaan bahasa serta dapat mengenali risiko dalam berkomunikasi antar budaya.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9:E51"/>
    <mergeCell ref="G49:I51"/>
    <mergeCell ref="K49:N51"/>
    <mergeCell ref="P49:T51"/>
    <mergeCell ref="C43:E45"/>
    <mergeCell ref="G43:I45"/>
    <mergeCell ref="K43:N45"/>
    <mergeCell ref="P43:T45"/>
    <mergeCell ref="C47:E48"/>
    <mergeCell ref="G47:I48"/>
    <mergeCell ref="K47:N48"/>
    <mergeCell ref="P47:T48"/>
    <mergeCell ref="C37:E39"/>
    <mergeCell ref="G37:I39"/>
    <mergeCell ref="K37:N39"/>
    <mergeCell ref="P37:T39"/>
    <mergeCell ref="C41:E42"/>
    <mergeCell ref="G41:I42"/>
    <mergeCell ref="K41:N42"/>
    <mergeCell ref="P41:T42"/>
    <mergeCell ref="C31:E33"/>
    <mergeCell ref="G31:I33"/>
    <mergeCell ref="K31:N33"/>
    <mergeCell ref="P31:T33"/>
    <mergeCell ref="C35:E36"/>
    <mergeCell ref="G35:I36"/>
    <mergeCell ref="K35:N36"/>
    <mergeCell ref="P35:T36"/>
    <mergeCell ref="C25:E27"/>
    <mergeCell ref="G25:I27"/>
    <mergeCell ref="K25:N27"/>
    <mergeCell ref="P25:T27"/>
    <mergeCell ref="C29:E30"/>
    <mergeCell ref="G29:I30"/>
    <mergeCell ref="K29:N30"/>
    <mergeCell ref="P29:T30"/>
    <mergeCell ref="C19:E21"/>
    <mergeCell ref="G19:I21"/>
    <mergeCell ref="K19:N21"/>
    <mergeCell ref="P19:T21"/>
    <mergeCell ref="C23:E24"/>
    <mergeCell ref="G23:I24"/>
    <mergeCell ref="K23:N24"/>
    <mergeCell ref="P23:T24"/>
    <mergeCell ref="C13:E15"/>
    <mergeCell ref="G13:I15"/>
    <mergeCell ref="K13:N15"/>
    <mergeCell ref="P13:T15"/>
    <mergeCell ref="C17:E18"/>
    <mergeCell ref="G17:I18"/>
    <mergeCell ref="K17:N18"/>
    <mergeCell ref="P17:T18"/>
    <mergeCell ref="C3:T3"/>
    <mergeCell ref="E6:I6"/>
    <mergeCell ref="C11:E12"/>
    <mergeCell ref="G11:I12"/>
    <mergeCell ref="K11:N12"/>
    <mergeCell ref="P11:T12"/>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100-000000000000}">
          <x14:formula1>
            <xm:f>DIMEL!$B$10:$B$23</xm:f>
          </x14:formula1>
          <xm:sqref>E8:E9</xm:sqref>
        </x14:dataValidation>
        <x14:dataValidation type="list" allowBlank="1" showInputMessage="1" showErrorMessage="1" xr:uid="{00000000-0002-0000-1100-000001000000}">
          <x14:formula1>
            <xm:f>OFFSET(ELSUBFASE!$A$3,1,MATCH($G$49,ELSUBFASE!$B$3:$U$3,0),5,1)</xm:f>
          </x14:formula1>
          <xm:sqref>K49:N51</xm:sqref>
        </x14:dataValidation>
        <x14:dataValidation type="list" allowBlank="1" showInputMessage="1" showErrorMessage="1" xr:uid="{00000000-0002-0000-1100-000002000000}">
          <x14:formula1>
            <xm:f>CHOOSE(MATCH($C$49,DIMEL!$B$3:$G$3,0),DIMEL!$B$4:$B$8,DIMEL!$C$4:$C$7,DIMEL!$D$4:$D$6,DIMEL!$E$4:$E$5,DIMEL!$F$4:$F$6,DIMEL!$G$4:$G$6)</xm:f>
          </x14:formula1>
          <xm:sqref>G49:I51</xm:sqref>
        </x14:dataValidation>
        <x14:dataValidation type="list" allowBlank="1" showInputMessage="1" showErrorMessage="1" xr:uid="{00000000-0002-0000-1100-000003000000}">
          <x14:formula1>
            <xm:f>OFFSET(ELSUBFASE!$A$3,1,MATCH($G$43,ELSUBFASE!$B$3:$U$3,0),5,1)</xm:f>
          </x14:formula1>
          <xm:sqref>K43:N45</xm:sqref>
        </x14:dataValidation>
        <x14:dataValidation type="list" allowBlank="1" showInputMessage="1" showErrorMessage="1" xr:uid="{00000000-0002-0000-1100-000004000000}">
          <x14:formula1>
            <xm:f>CHOOSE(MATCH($C$43,DIMEL!$B$3:$G$3,0),DIMEL!$B$4:$B$8,DIMEL!$C$4:$C$7,DIMEL!$D$4:$D$6,DIMEL!$E$4:$E$5,DIMEL!$F$4:$F$6,DIMEL!$G$4:$G$6)</xm:f>
          </x14:formula1>
          <xm:sqref>G43:I45</xm:sqref>
        </x14:dataValidation>
        <x14:dataValidation type="list" allowBlank="1" showInputMessage="1" showErrorMessage="1" xr:uid="{00000000-0002-0000-1100-000005000000}">
          <x14:formula1>
            <xm:f>OFFSET(ELSUBFASE!$A$3,1,MATCH($G$37,ELSUBFASE!$B$3:$U$3,0),5,1)</xm:f>
          </x14:formula1>
          <xm:sqref>K37:N39</xm:sqref>
        </x14:dataValidation>
        <x14:dataValidation type="list" allowBlank="1" showInputMessage="1" showErrorMessage="1" xr:uid="{00000000-0002-0000-1100-000006000000}">
          <x14:formula1>
            <xm:f>CHOOSE(MATCH($C$37,DIMEL!$B$3:$G$3,0),DIMEL!$B$4:$B$8,DIMEL!$C$4:$C$7,DIMEL!$D$4:$D$6,DIMEL!$E$4:$E$5,DIMEL!$F$4:$F$6,DIMEL!$G$4:$G$6)</xm:f>
          </x14:formula1>
          <xm:sqref>G37:I39</xm:sqref>
        </x14:dataValidation>
        <x14:dataValidation type="list" allowBlank="1" showInputMessage="1" showErrorMessage="1" xr:uid="{00000000-0002-0000-1100-000007000000}">
          <x14:formula1>
            <xm:f>OFFSET(ELSUBFASE!$A$3,1,MATCH($G$31,ELSUBFASE!$B$3:$U$3,0),5,1)</xm:f>
          </x14:formula1>
          <xm:sqref>K31:N34</xm:sqref>
        </x14:dataValidation>
        <x14:dataValidation type="list" allowBlank="1" showInputMessage="1" showErrorMessage="1" xr:uid="{00000000-0002-0000-1100-000008000000}">
          <x14:formula1>
            <xm:f>CHOOSE(MATCH($C$31,DIMEL!$B$3:$G$3,0),DIMEL!$B$4:$B$8,DIMEL!$C$4:$C$7,DIMEL!$D$4:$D$6,DIMEL!$E$4:$E$5,DIMEL!$F$4:$F$6,DIMEL!$G$4:$G$6)</xm:f>
          </x14:formula1>
          <xm:sqref>G31:I34</xm:sqref>
        </x14:dataValidation>
        <x14:dataValidation type="list" allowBlank="1" showInputMessage="1" showErrorMessage="1" xr:uid="{00000000-0002-0000-1100-000009000000}">
          <x14:formula1>
            <xm:f>OFFSET(ELSUBFASE!$A$3,1,MATCH($G$25,ELSUBFASE!$B$3:$U$3,0),5,1)</xm:f>
          </x14:formula1>
          <xm:sqref>K25:N27</xm:sqref>
        </x14:dataValidation>
        <x14:dataValidation type="list" allowBlank="1" showInputMessage="1" showErrorMessage="1" xr:uid="{00000000-0002-0000-1100-00000A000000}">
          <x14:formula1>
            <xm:f>CHOOSE(MATCH($C$25,DIMEL!$B$3:$G$3,0),DIMEL!$B$4:$B$8,DIMEL!$C$4:$C$7,DIMEL!$D$4:$D$6,DIMEL!$E$4:$E$5,DIMEL!$F$4:$F$6,DIMEL!$G$4:$G$6)</xm:f>
          </x14:formula1>
          <xm:sqref>G25:I27</xm:sqref>
        </x14:dataValidation>
        <x14:dataValidation type="list" allowBlank="1" showInputMessage="1" showErrorMessage="1" xr:uid="{00000000-0002-0000-1100-00000B000000}">
          <x14:formula1>
            <xm:f>OFFSET(ELSUBFASE!$A$3,1,MATCH($G$19,ELSUBFASE!$B$3:$U$3,0),5,1)</xm:f>
          </x14:formula1>
          <xm:sqref>K19:N21</xm:sqref>
        </x14:dataValidation>
        <x14:dataValidation type="list" allowBlank="1" showInputMessage="1" showErrorMessage="1" xr:uid="{00000000-0002-0000-1100-00000C000000}">
          <x14:formula1>
            <xm:f>CHOOSE(MATCH($C$19,DIMEL!$B$3:$G$3,0),DIMEL!$B$4:$B$8,DIMEL!$C$4:$C$7,DIMEL!$D$4:$D$6,DIMEL!$E$4:$E$5,DIMEL!$F$4:$F$6,DIMEL!$G$4:$G$6)</xm:f>
          </x14:formula1>
          <xm:sqref>G19:I21</xm:sqref>
        </x14:dataValidation>
        <x14:dataValidation type="list" allowBlank="1" showInputMessage="1" showErrorMessage="1" xr:uid="{00000000-0002-0000-1100-00000D000000}">
          <x14:formula1>
            <xm:f>ELSUBFASE!$C$10:$H$10</xm:f>
          </x14:formula1>
          <xm:sqref>E7</xm:sqref>
        </x14:dataValidation>
        <x14:dataValidation type="list" allowBlank="1" showInputMessage="1" showErrorMessage="1" xr:uid="{00000000-0002-0000-1100-00000E000000}">
          <x14:formula1>
            <xm:f>OFFSET(ELSUBFASE!$A$3,1,MATCH($G$13,ELSUBFASE!$B$3:$U$3,0),5,1)</xm:f>
          </x14:formula1>
          <xm:sqref>K13:N15</xm:sqref>
        </x14:dataValidation>
        <x14:dataValidation type="list" allowBlank="1" showInputMessage="1" showErrorMessage="1" xr:uid="{00000000-0002-0000-1100-00000F000000}">
          <x14:formula1>
            <xm:f>CHOOSE(MATCH($C$13,DIMEL!$B$3:$G$3,0),DIMEL!$B$4:$B$8,DIMEL!$C$4:$C$7,DIMEL!$D$4:$D$6,DIMEL!$E$4:$E$5,DIMEL!$F$4:$F$6,DIMEL!$G$4:$G$6)</xm:f>
          </x14:formula1>
          <xm:sqref>G13</xm:sqref>
        </x14:dataValidation>
        <x14:dataValidation type="list" allowBlank="1" showInputMessage="1" showErrorMessage="1" xr:uid="{00000000-0002-0000-1100-000010000000}">
          <x14:formula1>
            <xm:f>DIMEL!$B$3:$G$3</xm:f>
          </x14:formula1>
          <xm:sqref>C13 C19 C25 C31 C37 C43 C49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478</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450</v>
      </c>
      <c r="C5" s="131"/>
      <c r="D5" s="132">
        <f>IDENTITAS!H11</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PROYEK4!P13</f>
        <v>Merefleksikan secara kritis gambaran berbagai kelompok budaya yang ditemui dan cara meresponnya.</v>
      </c>
      <c r="F12" s="431"/>
      <c r="G12" s="431"/>
      <c r="H12" s="432"/>
      <c r="I12" s="433" t="str">
        <f>PROYEK4!P19</f>
        <v>Menjelaskan asumsi yang digunakan, menyadari kecenderungan dan konsekuensi bias pada pemikirannya, serta berusaha mempertimbangkan perspektif yang berbeda.</v>
      </c>
      <c r="J12" s="434"/>
      <c r="K12" s="434"/>
      <c r="L12" s="435"/>
      <c r="M12" s="436" t="str">
        <f>PROYEK4!P25</f>
        <v>Menggunakan pengetahuan tentang sebab dan alasan orang lain menampilkan reaksi tertentu untuk menentukan tindakan yang tepat agar orang lain menampilkan respon yang diharapkan.</v>
      </c>
      <c r="N12" s="437"/>
      <c r="O12" s="437"/>
      <c r="P12" s="438"/>
      <c r="Q12" s="439" t="str">
        <f>PROYEK4!P31</f>
        <v>Merancang strategi yang sesuai untuk menunjang pencapaian tujuan belajar, prestasi, dan pengembangan diri dengan mempertimbangkan kekuatan dan kelemahan dirinya, serta situasi yang dihadapi.</v>
      </c>
      <c r="R12" s="440"/>
      <c r="S12" s="440"/>
      <c r="T12" s="441"/>
      <c r="U12" s="442" t="str">
        <f>PROYEK4!P37</f>
        <v>Menjelaskan asumsi yang digunakan, menyadari kecenderungan dan konsekuensi bias pada pemikirannya, serta berusaha mempertimbangkan perspektif yang berbeda.</v>
      </c>
      <c r="V12" s="443"/>
      <c r="W12" s="443"/>
      <c r="X12" s="444"/>
      <c r="Y12" s="445" t="str">
        <f>PROYEK4!P43</f>
        <v>Membuktikan penalaran dengan berbagai argumen dalam mengambil suatu simpulan atau keputusan.</v>
      </c>
      <c r="Z12" s="446"/>
      <c r="AA12" s="446"/>
      <c r="AB12" s="447"/>
      <c r="AC12" s="448" t="str">
        <f>PROYEK4!P49</f>
        <v>Mengeksplorasi pengaruh budaya terhadap penggunaan bahasa serta dapat mengenali risiko dalam berkomunikasi antar budaya.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488</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453</v>
      </c>
      <c r="H6" s="173"/>
      <c r="I6" s="175" t="str">
        <f>": "&amp;IDENTITAS!H13</f>
        <v>: Tuliskan Judul Proyek yang anda lakukan di sekolah anda</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A60"/>
  <sheetViews>
    <sheetView workbookViewId="0">
      <selection activeCell="T6" sqref="T6"/>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452</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453</v>
      </c>
      <c r="D6" s="63"/>
      <c r="E6" s="316" t="str">
        <f>IDENTITAS!$H$13</f>
        <v>Tuliskan Judul Proyek yang anda lakukan di sekolah anda</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454</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Capaian Fase D</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t="s">
        <v>49</v>
      </c>
      <c r="D13" s="307"/>
      <c r="E13" s="308"/>
      <c r="F13" s="70"/>
      <c r="G13" s="306" t="s">
        <v>62</v>
      </c>
      <c r="H13" s="307"/>
      <c r="I13" s="308"/>
      <c r="J13" s="64"/>
      <c r="K13" s="306" t="s">
        <v>99</v>
      </c>
      <c r="L13" s="307"/>
      <c r="M13" s="307"/>
      <c r="N13" s="308"/>
      <c r="O13" s="64"/>
      <c r="P13" s="306" t="str">
        <f>INDEX(ELSUBFASE!$C$11:$H$52,MATCH(PROYEK5!K13,ELSUBFASE!$B$11:$B$52,0),MATCH(PROYEK5!E7,ELSUBFASE!$C$10:$H$10,0))</f>
        <v>Merefleksikan secara kritis gambaran berbagai kelompok budaya yang ditemui dan cara meresponnya.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Capaian Fase D</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t="s">
        <v>52</v>
      </c>
      <c r="D19" s="307"/>
      <c r="E19" s="308"/>
      <c r="F19" s="70"/>
      <c r="G19" s="306" t="s">
        <v>71</v>
      </c>
      <c r="H19" s="307"/>
      <c r="I19" s="308"/>
      <c r="J19" s="64"/>
      <c r="K19" s="306" t="s">
        <v>129</v>
      </c>
      <c r="L19" s="307"/>
      <c r="M19" s="307"/>
      <c r="N19" s="308"/>
      <c r="O19" s="64"/>
      <c r="P19" s="306" t="str">
        <f>INDEX(ELSUBFASE!C11:H52,MATCH(PROYEK5!K19,ELSUBFASE!B11:B52,0),MATCH(PROYEK5!E7,ELSUBFASE!C10:H10,0))</f>
        <v>Menjelaskan asumsi yang digunakan, menyadari kecenderungan dan konsekuensi bias pada pemikirannya, serta berusaha mempertimbangkan perspektif yang berbeda.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Capaian Fase D</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t="s">
        <v>50</v>
      </c>
      <c r="D25" s="307"/>
      <c r="E25" s="308"/>
      <c r="F25" s="70"/>
      <c r="G25" s="306" t="s">
        <v>65</v>
      </c>
      <c r="H25" s="307"/>
      <c r="I25" s="308"/>
      <c r="J25" s="64"/>
      <c r="K25" s="306" t="s">
        <v>113</v>
      </c>
      <c r="L25" s="307"/>
      <c r="M25" s="307"/>
      <c r="N25" s="308"/>
      <c r="O25" s="64"/>
      <c r="P25" s="306" t="str">
        <f>INDEX(ELSUBFASE!C11:H52,MATCH(PROYEK5!K25,ELSUBFASE!B11:B52,0),MATCH(PROYEK5!E7,ELSUBFASE!C10:H10,0))</f>
        <v>Menggunakan pengetahuan tentang sebab dan alasan orang lain menampilkan reaksi tertentu untuk menentukan tindakan yang tepat agar orang lain menampilkan respon yang diharapkan.</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Capaian Fase D</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t="s">
        <v>51</v>
      </c>
      <c r="D31" s="307"/>
      <c r="E31" s="308"/>
      <c r="F31" s="64"/>
      <c r="G31" s="306" t="s">
        <v>67</v>
      </c>
      <c r="H31" s="307"/>
      <c r="I31" s="308"/>
      <c r="J31" s="64"/>
      <c r="K31" s="306" t="s">
        <v>116</v>
      </c>
      <c r="L31" s="307"/>
      <c r="M31" s="307"/>
      <c r="N31" s="308"/>
      <c r="O31" s="64"/>
      <c r="P31" s="306" t="str">
        <f>INDEX(ELSUBFASE!C11:H52,MATCH(PROYEK5!K31,ELSUBFASE!B11:B52,0),MATCH(PROYEK5!E7,ELSUBFASE!C10:H10,0))</f>
        <v>Membuat penilaian yang realistis terhadap kemampuan dan minat , serta prioritas pengembangan diri berdasarkan pengalaman belajar dan aktivitas lain yang dilakukannya.</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Capaian Fase D</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t="s">
        <v>52</v>
      </c>
      <c r="D37" s="307"/>
      <c r="E37" s="308"/>
      <c r="F37" s="64"/>
      <c r="G37" s="306" t="s">
        <v>71</v>
      </c>
      <c r="H37" s="307"/>
      <c r="I37" s="308"/>
      <c r="J37" s="64"/>
      <c r="K37" s="306" t="s">
        <v>129</v>
      </c>
      <c r="L37" s="307"/>
      <c r="M37" s="307"/>
      <c r="N37" s="308"/>
      <c r="O37" s="64"/>
      <c r="P37" s="306" t="str">
        <f>INDEX(ELSUBFASE!C11:H52,MATCH(PROYEK5!K37,ELSUBFASE!B11:B52,0),MATCH(PROYEK5!E7,ELSUBFASE!C10:H10,0))</f>
        <v>Menjelaskan asumsi yang digunakan, menyadari kecenderungan dan konsekuensi bias pada pemikirannya, serta berusaha mempertimbangkan perspektif yang berbeda.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Capaian Fase D</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t="s">
        <v>53</v>
      </c>
      <c r="D43" s="307"/>
      <c r="E43" s="308"/>
      <c r="F43" s="64"/>
      <c r="G43" s="306" t="s">
        <v>70</v>
      </c>
      <c r="H43" s="307"/>
      <c r="I43" s="308"/>
      <c r="J43" s="64"/>
      <c r="K43" s="306" t="s">
        <v>70</v>
      </c>
      <c r="L43" s="307"/>
      <c r="M43" s="307"/>
      <c r="N43" s="308"/>
      <c r="O43" s="64"/>
      <c r="P43" s="306" t="str">
        <f>INDEX(ELSUBFASE!C11:H52,MATCH(PROYEK5!K43,ELSUBFASE!B11:B52,0),MATCH(PROYEK5!E7,ELSUBFASE!C10:H10,0))</f>
        <v>Membuktikan penalaran dengan berbagai argumen dalam mengambil suatu simpulan atau keputusan.</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Capaian Fase D</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t="s">
        <v>49</v>
      </c>
      <c r="D49" s="307"/>
      <c r="E49" s="308"/>
      <c r="F49" s="64"/>
      <c r="G49" s="306" t="s">
        <v>61</v>
      </c>
      <c r="H49" s="307"/>
      <c r="I49" s="308"/>
      <c r="J49" s="64"/>
      <c r="K49" s="306" t="s">
        <v>96</v>
      </c>
      <c r="L49" s="307"/>
      <c r="M49" s="307"/>
      <c r="N49" s="308"/>
      <c r="O49" s="64"/>
      <c r="P49" s="306" t="str">
        <f>INDEX(ELSUBFASE!C11:H52,MATCH(PROYEK5!K49,ELSUBFASE!B11:B52,0),MATCH(PROYEK5!E7,ELSUBFASE!C10:H10,0))</f>
        <v>Mengeksplorasi pengaruh budaya terhadap penggunaan bahasa serta dapat mengenali risiko dalam berkomunikasi antar budaya.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9:E51"/>
    <mergeCell ref="G49:I51"/>
    <mergeCell ref="K49:N51"/>
    <mergeCell ref="P49:T51"/>
    <mergeCell ref="C43:E45"/>
    <mergeCell ref="G43:I45"/>
    <mergeCell ref="K43:N45"/>
    <mergeCell ref="P43:T45"/>
    <mergeCell ref="C47:E48"/>
    <mergeCell ref="G47:I48"/>
    <mergeCell ref="K47:N48"/>
    <mergeCell ref="P47:T48"/>
    <mergeCell ref="C37:E39"/>
    <mergeCell ref="G37:I39"/>
    <mergeCell ref="K37:N39"/>
    <mergeCell ref="P37:T39"/>
    <mergeCell ref="C41:E42"/>
    <mergeCell ref="G41:I42"/>
    <mergeCell ref="K41:N42"/>
    <mergeCell ref="P41:T42"/>
    <mergeCell ref="C31:E33"/>
    <mergeCell ref="G31:I33"/>
    <mergeCell ref="K31:N33"/>
    <mergeCell ref="P31:T33"/>
    <mergeCell ref="C35:E36"/>
    <mergeCell ref="G35:I36"/>
    <mergeCell ref="K35:N36"/>
    <mergeCell ref="P35:T36"/>
    <mergeCell ref="C25:E27"/>
    <mergeCell ref="G25:I27"/>
    <mergeCell ref="K25:N27"/>
    <mergeCell ref="P25:T27"/>
    <mergeCell ref="C29:E30"/>
    <mergeCell ref="G29:I30"/>
    <mergeCell ref="K29:N30"/>
    <mergeCell ref="P29:T30"/>
    <mergeCell ref="C19:E21"/>
    <mergeCell ref="G19:I21"/>
    <mergeCell ref="K19:N21"/>
    <mergeCell ref="P19:T21"/>
    <mergeCell ref="C23:E24"/>
    <mergeCell ref="G23:I24"/>
    <mergeCell ref="K23:N24"/>
    <mergeCell ref="P23:T24"/>
    <mergeCell ref="C13:E15"/>
    <mergeCell ref="G13:I15"/>
    <mergeCell ref="K13:N15"/>
    <mergeCell ref="P13:T15"/>
    <mergeCell ref="C17:E18"/>
    <mergeCell ref="G17:I18"/>
    <mergeCell ref="K17:N18"/>
    <mergeCell ref="P17:T18"/>
    <mergeCell ref="C3:T3"/>
    <mergeCell ref="E6:I6"/>
    <mergeCell ref="C11:E12"/>
    <mergeCell ref="G11:I12"/>
    <mergeCell ref="K11:N12"/>
    <mergeCell ref="P11:T12"/>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400-000000000000}">
          <x14:formula1>
            <xm:f>DIMEL!$B$3:$G$3</xm:f>
          </x14:formula1>
          <xm:sqref>C13 C19 C25 C31 C37 C43 C49</xm:sqref>
        </x14:dataValidation>
        <x14:dataValidation type="list" allowBlank="1" showInputMessage="1" showErrorMessage="1" xr:uid="{00000000-0002-0000-1400-000001000000}">
          <x14:formula1>
            <xm:f>CHOOSE(MATCH($C$13,DIMEL!$B$3:$G$3,0),DIMEL!$B$4:$B$8,DIMEL!$C$4:$C$7,DIMEL!$D$4:$D$6,DIMEL!$E$4:$E$5,DIMEL!$F$4:$F$6,DIMEL!$G$4:$G$6)</xm:f>
          </x14:formula1>
          <xm:sqref>G13</xm:sqref>
        </x14:dataValidation>
        <x14:dataValidation type="list" allowBlank="1" showInputMessage="1" showErrorMessage="1" xr:uid="{00000000-0002-0000-1400-000002000000}">
          <x14:formula1>
            <xm:f>OFFSET(ELSUBFASE!$A$3,1,MATCH($G$13,ELSUBFASE!$B$3:$U$3,0),5,1)</xm:f>
          </x14:formula1>
          <xm:sqref>K13:N15</xm:sqref>
        </x14:dataValidation>
        <x14:dataValidation type="list" allowBlank="1" showInputMessage="1" showErrorMessage="1" xr:uid="{00000000-0002-0000-1400-000003000000}">
          <x14:formula1>
            <xm:f>ELSUBFASE!$C$10:$H$10</xm:f>
          </x14:formula1>
          <xm:sqref>E7</xm:sqref>
        </x14:dataValidation>
        <x14:dataValidation type="list" allowBlank="1" showInputMessage="1" showErrorMessage="1" xr:uid="{00000000-0002-0000-1400-000004000000}">
          <x14:formula1>
            <xm:f>CHOOSE(MATCH($C$19,DIMEL!$B$3:$G$3,0),DIMEL!$B$4:$B$8,DIMEL!$C$4:$C$7,DIMEL!$D$4:$D$6,DIMEL!$E$4:$E$5,DIMEL!$F$4:$F$6,DIMEL!$G$4:$G$6)</xm:f>
          </x14:formula1>
          <xm:sqref>G19:I21</xm:sqref>
        </x14:dataValidation>
        <x14:dataValidation type="list" allowBlank="1" showInputMessage="1" showErrorMessage="1" xr:uid="{00000000-0002-0000-1400-000005000000}">
          <x14:formula1>
            <xm:f>OFFSET(ELSUBFASE!$A$3,1,MATCH($G$19,ELSUBFASE!$B$3:$U$3,0),5,1)</xm:f>
          </x14:formula1>
          <xm:sqref>K19:N21</xm:sqref>
        </x14:dataValidation>
        <x14:dataValidation type="list" allowBlank="1" showInputMessage="1" showErrorMessage="1" xr:uid="{00000000-0002-0000-1400-000006000000}">
          <x14:formula1>
            <xm:f>CHOOSE(MATCH($C$25,DIMEL!$B$3:$G$3,0),DIMEL!$B$4:$B$8,DIMEL!$C$4:$C$7,DIMEL!$D$4:$D$6,DIMEL!$E$4:$E$5,DIMEL!$F$4:$F$6,DIMEL!$G$4:$G$6)</xm:f>
          </x14:formula1>
          <xm:sqref>G25:I27</xm:sqref>
        </x14:dataValidation>
        <x14:dataValidation type="list" allowBlank="1" showInputMessage="1" showErrorMessage="1" xr:uid="{00000000-0002-0000-1400-000007000000}">
          <x14:formula1>
            <xm:f>OFFSET(ELSUBFASE!$A$3,1,MATCH($G$25,ELSUBFASE!$B$3:$U$3,0),5,1)</xm:f>
          </x14:formula1>
          <xm:sqref>K25:N27</xm:sqref>
        </x14:dataValidation>
        <x14:dataValidation type="list" allowBlank="1" showInputMessage="1" showErrorMessage="1" xr:uid="{00000000-0002-0000-1400-000008000000}">
          <x14:formula1>
            <xm:f>CHOOSE(MATCH($C$31,DIMEL!$B$3:$G$3,0),DIMEL!$B$4:$B$8,DIMEL!$C$4:$C$7,DIMEL!$D$4:$D$6,DIMEL!$E$4:$E$5,DIMEL!$F$4:$F$6,DIMEL!$G$4:$G$6)</xm:f>
          </x14:formula1>
          <xm:sqref>G31:I34</xm:sqref>
        </x14:dataValidation>
        <x14:dataValidation type="list" allowBlank="1" showInputMessage="1" showErrorMessage="1" xr:uid="{00000000-0002-0000-1400-000009000000}">
          <x14:formula1>
            <xm:f>OFFSET(ELSUBFASE!$A$3,1,MATCH($G$31,ELSUBFASE!$B$3:$U$3,0),5,1)</xm:f>
          </x14:formula1>
          <xm:sqref>K31:N34</xm:sqref>
        </x14:dataValidation>
        <x14:dataValidation type="list" allowBlank="1" showInputMessage="1" showErrorMessage="1" xr:uid="{00000000-0002-0000-1400-00000A000000}">
          <x14:formula1>
            <xm:f>CHOOSE(MATCH($C$37,DIMEL!$B$3:$G$3,0),DIMEL!$B$4:$B$8,DIMEL!$C$4:$C$7,DIMEL!$D$4:$D$6,DIMEL!$E$4:$E$5,DIMEL!$F$4:$F$6,DIMEL!$G$4:$G$6)</xm:f>
          </x14:formula1>
          <xm:sqref>G37:I39</xm:sqref>
        </x14:dataValidation>
        <x14:dataValidation type="list" allowBlank="1" showInputMessage="1" showErrorMessage="1" xr:uid="{00000000-0002-0000-1400-00000B000000}">
          <x14:formula1>
            <xm:f>OFFSET(ELSUBFASE!$A$3,1,MATCH($G$37,ELSUBFASE!$B$3:$U$3,0),5,1)</xm:f>
          </x14:formula1>
          <xm:sqref>K37:N39</xm:sqref>
        </x14:dataValidation>
        <x14:dataValidation type="list" allowBlank="1" showInputMessage="1" showErrorMessage="1" xr:uid="{00000000-0002-0000-1400-00000C000000}">
          <x14:formula1>
            <xm:f>CHOOSE(MATCH($C$43,DIMEL!$B$3:$G$3,0),DIMEL!$B$4:$B$8,DIMEL!$C$4:$C$7,DIMEL!$D$4:$D$6,DIMEL!$E$4:$E$5,DIMEL!$F$4:$F$6,DIMEL!$G$4:$G$6)</xm:f>
          </x14:formula1>
          <xm:sqref>G43:I45</xm:sqref>
        </x14:dataValidation>
        <x14:dataValidation type="list" allowBlank="1" showInputMessage="1" showErrorMessage="1" xr:uid="{00000000-0002-0000-1400-00000D000000}">
          <x14:formula1>
            <xm:f>OFFSET(ELSUBFASE!$A$3,1,MATCH($G$43,ELSUBFASE!$B$3:$U$3,0),5,1)</xm:f>
          </x14:formula1>
          <xm:sqref>K43:N45</xm:sqref>
        </x14:dataValidation>
        <x14:dataValidation type="list" allowBlank="1" showInputMessage="1" showErrorMessage="1" xr:uid="{00000000-0002-0000-1400-00000E000000}">
          <x14:formula1>
            <xm:f>CHOOSE(MATCH($C$49,DIMEL!$B$3:$G$3,0),DIMEL!$B$4:$B$8,DIMEL!$C$4:$C$7,DIMEL!$D$4:$D$6,DIMEL!$E$4:$E$5,DIMEL!$F$4:$F$6,DIMEL!$G$4:$G$6)</xm:f>
          </x14:formula1>
          <xm:sqref>G49:I51</xm:sqref>
        </x14:dataValidation>
        <x14:dataValidation type="list" allowBlank="1" showInputMessage="1" showErrorMessage="1" xr:uid="{00000000-0002-0000-1400-00000F000000}">
          <x14:formula1>
            <xm:f>OFFSET(ELSUBFASE!$A$3,1,MATCH($G$49,ELSUBFASE!$B$3:$U$3,0),5,1)</xm:f>
          </x14:formula1>
          <xm:sqref>K49:N51</xm:sqref>
        </x14:dataValidation>
        <x14:dataValidation type="list" allowBlank="1" showInputMessage="1" showErrorMessage="1" xr:uid="{00000000-0002-0000-1400-000010000000}">
          <x14:formula1>
            <xm:f>DIMEL!$B$10:$B$23</xm:f>
          </x14:formula1>
          <xm:sqref>E8:E9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479</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33" x14ac:dyDescent="0.3">
      <c r="A5" s="1"/>
      <c r="B5" s="130" t="s">
        <v>453</v>
      </c>
      <c r="C5" s="131"/>
      <c r="D5" s="132" t="str">
        <f>IDENTITAS!H13</f>
        <v>Tuliskan Judul Proyek yang anda lakukan di sekolah anda</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PROYEK5!P13</f>
        <v>Merefleksikan secara kritis gambaran berbagai kelompok budaya yang ditemui dan cara meresponnya.</v>
      </c>
      <c r="F12" s="431"/>
      <c r="G12" s="431"/>
      <c r="H12" s="432"/>
      <c r="I12" s="433" t="str">
        <f>PROYEK5!P19</f>
        <v>Menjelaskan asumsi yang digunakan, menyadari kecenderungan dan konsekuensi bias pada pemikirannya, serta berusaha mempertimbangkan perspektif yang berbeda.</v>
      </c>
      <c r="J12" s="434"/>
      <c r="K12" s="434"/>
      <c r="L12" s="435"/>
      <c r="M12" s="436" t="str">
        <f>PROYEK5!P25</f>
        <v>Menggunakan pengetahuan tentang sebab dan alasan orang lain menampilkan reaksi tertentu untuk menentukan tindakan yang tepat agar orang lain menampilkan respon yang diharapkan.</v>
      </c>
      <c r="N12" s="437"/>
      <c r="O12" s="437"/>
      <c r="P12" s="438"/>
      <c r="Q12" s="439" t="str">
        <f>PROYEK5!P31</f>
        <v>Membuat penilaian yang realistis terhadap kemampuan dan minat , serta prioritas pengembangan diri berdasarkan pengalaman belajar dan aktivitas lain yang dilakukannya.</v>
      </c>
      <c r="R12" s="440"/>
      <c r="S12" s="440"/>
      <c r="T12" s="441"/>
      <c r="U12" s="442" t="str">
        <f>PROYEK5!P37</f>
        <v>Menjelaskan asumsi yang digunakan, menyadari kecenderungan dan konsekuensi bias pada pemikirannya, serta berusaha mempertimbangkan perspektif yang berbeda.</v>
      </c>
      <c r="V12" s="443"/>
      <c r="W12" s="443"/>
      <c r="X12" s="444"/>
      <c r="Y12" s="445" t="str">
        <f>PROYEK5!P43</f>
        <v>Membuktikan penalaran dengan berbagai argumen dalam mengambil suatu simpulan atau keputusan.</v>
      </c>
      <c r="Z12" s="446"/>
      <c r="AA12" s="446"/>
      <c r="AB12" s="447"/>
      <c r="AC12" s="448" t="str">
        <f>PROYEK5!P49</f>
        <v>Mengeksplorasi pengaruh budaya terhadap penggunaan bahasa serta dapat mengenali risiko dalam berkomunikasi antar budaya.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489</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456</v>
      </c>
      <c r="H6" s="173"/>
      <c r="I6" s="175" t="str">
        <f>": "&amp;IDENTITAS!H15</f>
        <v>: Untuk Pengisian NIP diawal dengan tanda koma atas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A60"/>
  <sheetViews>
    <sheetView workbookViewId="0">
      <selection activeCell="T6" sqref="T6"/>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455</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456</v>
      </c>
      <c r="D6" s="63"/>
      <c r="E6" s="316" t="str">
        <f>IDENTITAS!H15</f>
        <v>Untuk Pengisian NIP diawal dengan tanda koma atas (')</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457</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05" t="s">
        <v>164</v>
      </c>
      <c r="D11" s="305"/>
      <c r="E11" s="305"/>
      <c r="F11" s="68"/>
      <c r="G11" s="305" t="s">
        <v>168</v>
      </c>
      <c r="H11" s="305"/>
      <c r="I11" s="305"/>
      <c r="J11" s="69"/>
      <c r="K11" s="305" t="s">
        <v>434</v>
      </c>
      <c r="L11" s="305"/>
      <c r="M11" s="305"/>
      <c r="N11" s="305"/>
      <c r="O11" s="69"/>
      <c r="P11" s="305" t="str">
        <f>"Capaian Fase "&amp;$E$7</f>
        <v>Capaian Fase D</v>
      </c>
      <c r="Q11" s="305"/>
      <c r="R11" s="305"/>
      <c r="S11" s="305"/>
      <c r="T11" s="305"/>
      <c r="U11" s="60"/>
      <c r="V11" s="59"/>
      <c r="W11" s="77"/>
      <c r="X11" s="77"/>
      <c r="Y11" s="77"/>
      <c r="Z11" s="77"/>
      <c r="AA11" s="77"/>
    </row>
    <row r="12" spans="1:27" ht="17.25" thickBot="1" x14ac:dyDescent="0.35">
      <c r="A12" s="56"/>
      <c r="B12" s="57"/>
      <c r="C12" s="305"/>
      <c r="D12" s="305"/>
      <c r="E12" s="305"/>
      <c r="F12" s="70"/>
      <c r="G12" s="305"/>
      <c r="H12" s="305"/>
      <c r="I12" s="305"/>
      <c r="J12" s="64"/>
      <c r="K12" s="305"/>
      <c r="L12" s="305"/>
      <c r="M12" s="305"/>
      <c r="N12" s="305"/>
      <c r="O12" s="64"/>
      <c r="P12" s="305"/>
      <c r="Q12" s="305"/>
      <c r="R12" s="305"/>
      <c r="S12" s="305"/>
      <c r="T12" s="305"/>
      <c r="U12" s="57"/>
      <c r="V12" s="56"/>
      <c r="W12" s="3"/>
      <c r="X12" s="3"/>
      <c r="Y12" s="3"/>
      <c r="Z12" s="3"/>
      <c r="AA12" s="3"/>
    </row>
    <row r="13" spans="1:27" ht="15" customHeight="1" x14ac:dyDescent="0.3">
      <c r="A13" s="56"/>
      <c r="B13" s="57"/>
      <c r="C13" s="306" t="s">
        <v>49</v>
      </c>
      <c r="D13" s="307"/>
      <c r="E13" s="308"/>
      <c r="F13" s="70"/>
      <c r="G13" s="306" t="s">
        <v>62</v>
      </c>
      <c r="H13" s="307"/>
      <c r="I13" s="308"/>
      <c r="J13" s="64"/>
      <c r="K13" s="306" t="s">
        <v>99</v>
      </c>
      <c r="L13" s="307"/>
      <c r="M13" s="307"/>
      <c r="N13" s="308"/>
      <c r="O13" s="64"/>
      <c r="P13" s="306" t="str">
        <f>INDEX(ELSUBFASE!$C$11:$H$52,MATCH(PROYEK6!K13,ELSUBFASE!$B$11:$B$52,0),MATCH(PROYEK6!E7,ELSUBFASE!$C$10:$H$10,0))</f>
        <v>Merefleksikan secara kritis gambaran berbagai kelompok budaya yang ditemui dan cara meresponnya.</v>
      </c>
      <c r="Q13" s="307"/>
      <c r="R13" s="307"/>
      <c r="S13" s="307"/>
      <c r="T13" s="308"/>
      <c r="U13" s="57"/>
      <c r="V13" s="56"/>
      <c r="W13" s="3"/>
      <c r="X13" s="3"/>
      <c r="Y13" s="3"/>
      <c r="Z13" s="3"/>
      <c r="AA13" s="3"/>
    </row>
    <row r="14" spans="1:27" ht="16.5" x14ac:dyDescent="0.3">
      <c r="A14" s="56"/>
      <c r="B14" s="57"/>
      <c r="C14" s="309"/>
      <c r="D14" s="310"/>
      <c r="E14" s="311"/>
      <c r="F14" s="70"/>
      <c r="G14" s="309"/>
      <c r="H14" s="310"/>
      <c r="I14" s="311"/>
      <c r="J14" s="64"/>
      <c r="K14" s="309"/>
      <c r="L14" s="310"/>
      <c r="M14" s="310"/>
      <c r="N14" s="311"/>
      <c r="O14" s="64"/>
      <c r="P14" s="309"/>
      <c r="Q14" s="310"/>
      <c r="R14" s="310"/>
      <c r="S14" s="310"/>
      <c r="T14" s="311"/>
      <c r="U14" s="57"/>
      <c r="V14" s="56"/>
      <c r="W14" s="3"/>
      <c r="X14" s="3"/>
      <c r="Y14" s="3"/>
      <c r="Z14" s="3"/>
      <c r="AA14" s="3"/>
    </row>
    <row r="15" spans="1:27" ht="30.75" customHeight="1" thickBot="1" x14ac:dyDescent="0.35">
      <c r="A15" s="56"/>
      <c r="B15" s="57"/>
      <c r="C15" s="312"/>
      <c r="D15" s="313"/>
      <c r="E15" s="314"/>
      <c r="F15" s="64"/>
      <c r="G15" s="312"/>
      <c r="H15" s="313"/>
      <c r="I15" s="314"/>
      <c r="J15" s="64"/>
      <c r="K15" s="312"/>
      <c r="L15" s="313"/>
      <c r="M15" s="313"/>
      <c r="N15" s="314"/>
      <c r="O15" s="64"/>
      <c r="P15" s="312"/>
      <c r="Q15" s="313"/>
      <c r="R15" s="313"/>
      <c r="S15" s="313"/>
      <c r="T15" s="314"/>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05" t="s">
        <v>165</v>
      </c>
      <c r="D17" s="305"/>
      <c r="E17" s="305"/>
      <c r="F17" s="70"/>
      <c r="G17" s="305" t="s">
        <v>187</v>
      </c>
      <c r="H17" s="305"/>
      <c r="I17" s="305"/>
      <c r="J17" s="64"/>
      <c r="K17" s="305" t="s">
        <v>435</v>
      </c>
      <c r="L17" s="305"/>
      <c r="M17" s="305"/>
      <c r="N17" s="305"/>
      <c r="O17" s="64"/>
      <c r="P17" s="305" t="str">
        <f>"Capaian Fase "&amp;$E$7</f>
        <v>Capaian Fase D</v>
      </c>
      <c r="Q17" s="305"/>
      <c r="R17" s="305"/>
      <c r="S17" s="305"/>
      <c r="T17" s="305"/>
      <c r="U17" s="57"/>
      <c r="V17" s="56"/>
      <c r="W17" s="3"/>
      <c r="X17" s="3"/>
      <c r="Y17" s="3"/>
      <c r="Z17" s="3"/>
      <c r="AA17" s="3"/>
    </row>
    <row r="18" spans="1:27" ht="17.25" thickBot="1" x14ac:dyDescent="0.35">
      <c r="A18" s="56"/>
      <c r="B18" s="57"/>
      <c r="C18" s="305"/>
      <c r="D18" s="305"/>
      <c r="E18" s="305"/>
      <c r="F18" s="70"/>
      <c r="G18" s="305"/>
      <c r="H18" s="305"/>
      <c r="I18" s="305"/>
      <c r="J18" s="64"/>
      <c r="K18" s="305"/>
      <c r="L18" s="305"/>
      <c r="M18" s="305"/>
      <c r="N18" s="305"/>
      <c r="O18" s="64"/>
      <c r="P18" s="305"/>
      <c r="Q18" s="305"/>
      <c r="R18" s="305"/>
      <c r="S18" s="305"/>
      <c r="T18" s="305"/>
      <c r="U18" s="57"/>
      <c r="V18" s="56"/>
      <c r="W18" s="3"/>
      <c r="X18" s="3"/>
      <c r="Y18" s="3"/>
      <c r="Z18" s="3"/>
      <c r="AA18" s="3"/>
    </row>
    <row r="19" spans="1:27" ht="16.5" x14ac:dyDescent="0.3">
      <c r="A19" s="56"/>
      <c r="B19" s="57"/>
      <c r="C19" s="306" t="s">
        <v>52</v>
      </c>
      <c r="D19" s="307"/>
      <c r="E19" s="308"/>
      <c r="F19" s="70"/>
      <c r="G19" s="306" t="s">
        <v>71</v>
      </c>
      <c r="H19" s="307"/>
      <c r="I19" s="308"/>
      <c r="J19" s="64"/>
      <c r="K19" s="306" t="s">
        <v>129</v>
      </c>
      <c r="L19" s="307"/>
      <c r="M19" s="307"/>
      <c r="N19" s="308"/>
      <c r="O19" s="64"/>
      <c r="P19" s="306" t="str">
        <f>INDEX(ELSUBFASE!C11:H52,MATCH(PROYEK6!K19,ELSUBFASE!B11:B52,0),MATCH(PROYEK6!E7,ELSUBFASE!C10:H10,0))</f>
        <v>Menjelaskan asumsi yang digunakan, menyadari kecenderungan dan konsekuensi bias pada pemikirannya, serta berusaha mempertimbangkan perspektif yang berbeda.</v>
      </c>
      <c r="Q19" s="307"/>
      <c r="R19" s="307"/>
      <c r="S19" s="307"/>
      <c r="T19" s="308"/>
      <c r="U19" s="57"/>
      <c r="V19" s="56"/>
      <c r="W19" s="3"/>
      <c r="X19" s="3"/>
      <c r="Y19" s="3"/>
      <c r="Z19" s="3"/>
      <c r="AA19" s="3"/>
    </row>
    <row r="20" spans="1:27" ht="16.5" x14ac:dyDescent="0.3">
      <c r="A20" s="56"/>
      <c r="B20" s="57"/>
      <c r="C20" s="309"/>
      <c r="D20" s="310"/>
      <c r="E20" s="311"/>
      <c r="F20" s="70"/>
      <c r="G20" s="309"/>
      <c r="H20" s="310"/>
      <c r="I20" s="311"/>
      <c r="J20" s="64"/>
      <c r="K20" s="309"/>
      <c r="L20" s="310"/>
      <c r="M20" s="310"/>
      <c r="N20" s="311"/>
      <c r="O20" s="64"/>
      <c r="P20" s="309"/>
      <c r="Q20" s="310"/>
      <c r="R20" s="310"/>
      <c r="S20" s="310"/>
      <c r="T20" s="311"/>
      <c r="U20" s="57"/>
      <c r="V20" s="56"/>
      <c r="W20" s="3"/>
      <c r="X20" s="3"/>
      <c r="Y20" s="3"/>
      <c r="Z20" s="3"/>
      <c r="AA20" s="3"/>
    </row>
    <row r="21" spans="1:27" ht="36.75" customHeight="1" thickBot="1" x14ac:dyDescent="0.35">
      <c r="A21" s="56"/>
      <c r="B21" s="57"/>
      <c r="C21" s="312"/>
      <c r="D21" s="313"/>
      <c r="E21" s="314"/>
      <c r="F21" s="64"/>
      <c r="G21" s="312"/>
      <c r="H21" s="313"/>
      <c r="I21" s="314"/>
      <c r="J21" s="64"/>
      <c r="K21" s="312"/>
      <c r="L21" s="313"/>
      <c r="M21" s="313"/>
      <c r="N21" s="314"/>
      <c r="O21" s="64"/>
      <c r="P21" s="312"/>
      <c r="Q21" s="313"/>
      <c r="R21" s="313"/>
      <c r="S21" s="313"/>
      <c r="T21" s="314"/>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05" t="s">
        <v>166</v>
      </c>
      <c r="D23" s="305"/>
      <c r="E23" s="305"/>
      <c r="F23" s="70"/>
      <c r="G23" s="305" t="s">
        <v>188</v>
      </c>
      <c r="H23" s="305"/>
      <c r="I23" s="305"/>
      <c r="J23" s="64"/>
      <c r="K23" s="305" t="s">
        <v>436</v>
      </c>
      <c r="L23" s="305"/>
      <c r="M23" s="305"/>
      <c r="N23" s="305"/>
      <c r="O23" s="64"/>
      <c r="P23" s="305" t="str">
        <f>"Capaian Fase "&amp;$E$7</f>
        <v>Capaian Fase D</v>
      </c>
      <c r="Q23" s="305"/>
      <c r="R23" s="305"/>
      <c r="S23" s="305"/>
      <c r="T23" s="305"/>
      <c r="U23" s="57"/>
      <c r="V23" s="56"/>
      <c r="W23" s="3"/>
      <c r="X23" s="3"/>
      <c r="Y23" s="3"/>
      <c r="Z23" s="3"/>
      <c r="AA23" s="3"/>
    </row>
    <row r="24" spans="1:27" ht="17.25" thickBot="1" x14ac:dyDescent="0.35">
      <c r="A24" s="56"/>
      <c r="B24" s="57"/>
      <c r="C24" s="305"/>
      <c r="D24" s="305"/>
      <c r="E24" s="305"/>
      <c r="F24" s="70"/>
      <c r="G24" s="305"/>
      <c r="H24" s="305"/>
      <c r="I24" s="305"/>
      <c r="J24" s="64"/>
      <c r="K24" s="305"/>
      <c r="L24" s="305"/>
      <c r="M24" s="305"/>
      <c r="N24" s="305"/>
      <c r="O24" s="64"/>
      <c r="P24" s="305"/>
      <c r="Q24" s="305"/>
      <c r="R24" s="305"/>
      <c r="S24" s="305"/>
      <c r="T24" s="305"/>
      <c r="U24" s="57"/>
      <c r="V24" s="56"/>
      <c r="W24" s="3"/>
      <c r="X24" s="3"/>
      <c r="Y24" s="3"/>
      <c r="Z24" s="3"/>
      <c r="AA24" s="3"/>
    </row>
    <row r="25" spans="1:27" ht="16.5" x14ac:dyDescent="0.3">
      <c r="A25" s="56"/>
      <c r="B25" s="57"/>
      <c r="C25" s="306" t="s">
        <v>50</v>
      </c>
      <c r="D25" s="307"/>
      <c r="E25" s="308"/>
      <c r="F25" s="70"/>
      <c r="G25" s="306" t="s">
        <v>65</v>
      </c>
      <c r="H25" s="307"/>
      <c r="I25" s="308"/>
      <c r="J25" s="64"/>
      <c r="K25" s="306" t="s">
        <v>113</v>
      </c>
      <c r="L25" s="307"/>
      <c r="M25" s="307"/>
      <c r="N25" s="308"/>
      <c r="O25" s="64"/>
      <c r="P25" s="306" t="str">
        <f>INDEX(ELSUBFASE!C11:H52,MATCH(PROYEK6!K25,ELSUBFASE!B11:B52,0),MATCH(PROYEK6!E7,ELSUBFASE!C10:H10,0))</f>
        <v>Menggunakan pengetahuan tentang sebab dan alasan orang lain menampilkan reaksi tertentu untuk menentukan tindakan yang tepat agar orang lain menampilkan respon yang diharapkan.</v>
      </c>
      <c r="Q25" s="307"/>
      <c r="R25" s="307"/>
      <c r="S25" s="307"/>
      <c r="T25" s="308"/>
      <c r="U25" s="57"/>
      <c r="V25" s="56"/>
      <c r="W25" s="3"/>
      <c r="X25" s="3"/>
      <c r="Y25" s="3"/>
      <c r="Z25" s="3"/>
      <c r="AA25" s="3"/>
    </row>
    <row r="26" spans="1:27" ht="16.5" x14ac:dyDescent="0.3">
      <c r="A26" s="56"/>
      <c r="B26" s="57"/>
      <c r="C26" s="309"/>
      <c r="D26" s="310"/>
      <c r="E26" s="311"/>
      <c r="F26" s="70"/>
      <c r="G26" s="309"/>
      <c r="H26" s="310"/>
      <c r="I26" s="311"/>
      <c r="J26" s="64"/>
      <c r="K26" s="309"/>
      <c r="L26" s="310"/>
      <c r="M26" s="310"/>
      <c r="N26" s="311"/>
      <c r="O26" s="64"/>
      <c r="P26" s="309"/>
      <c r="Q26" s="310"/>
      <c r="R26" s="310"/>
      <c r="S26" s="310"/>
      <c r="T26" s="311"/>
      <c r="U26" s="57"/>
      <c r="V26" s="56"/>
      <c r="W26" s="3"/>
      <c r="X26" s="3"/>
      <c r="Y26" s="3"/>
      <c r="Z26" s="3"/>
      <c r="AA26" s="3"/>
    </row>
    <row r="27" spans="1:27" ht="33" customHeight="1" thickBot="1" x14ac:dyDescent="0.35">
      <c r="A27" s="56"/>
      <c r="B27" s="57"/>
      <c r="C27" s="312"/>
      <c r="D27" s="313"/>
      <c r="E27" s="314"/>
      <c r="F27" s="64"/>
      <c r="G27" s="312"/>
      <c r="H27" s="313"/>
      <c r="I27" s="314"/>
      <c r="J27" s="64"/>
      <c r="K27" s="312"/>
      <c r="L27" s="313"/>
      <c r="M27" s="313"/>
      <c r="N27" s="314"/>
      <c r="O27" s="64"/>
      <c r="P27" s="312"/>
      <c r="Q27" s="313"/>
      <c r="R27" s="313"/>
      <c r="S27" s="313"/>
      <c r="T27" s="314"/>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05" t="s">
        <v>422</v>
      </c>
      <c r="D29" s="305"/>
      <c r="E29" s="305"/>
      <c r="F29" s="70"/>
      <c r="G29" s="305" t="s">
        <v>423</v>
      </c>
      <c r="H29" s="305"/>
      <c r="I29" s="305"/>
      <c r="J29" s="64"/>
      <c r="K29" s="305" t="s">
        <v>437</v>
      </c>
      <c r="L29" s="305"/>
      <c r="M29" s="305"/>
      <c r="N29" s="305"/>
      <c r="O29" s="64"/>
      <c r="P29" s="305" t="str">
        <f>"Capaian Fase "&amp;$E$7</f>
        <v>Capaian Fase D</v>
      </c>
      <c r="Q29" s="305"/>
      <c r="R29" s="305"/>
      <c r="S29" s="305"/>
      <c r="T29" s="305"/>
      <c r="U29" s="57"/>
      <c r="V29" s="56"/>
      <c r="W29" s="3"/>
      <c r="X29" s="3"/>
      <c r="Y29" s="3"/>
      <c r="Z29" s="3"/>
      <c r="AA29" s="3"/>
    </row>
    <row r="30" spans="1:27" ht="17.25" thickBot="1" x14ac:dyDescent="0.35">
      <c r="A30" s="56"/>
      <c r="B30" s="57"/>
      <c r="C30" s="305"/>
      <c r="D30" s="305"/>
      <c r="E30" s="305"/>
      <c r="F30" s="64"/>
      <c r="G30" s="305"/>
      <c r="H30" s="305"/>
      <c r="I30" s="305"/>
      <c r="J30" s="64"/>
      <c r="K30" s="305"/>
      <c r="L30" s="305"/>
      <c r="M30" s="305"/>
      <c r="N30" s="305"/>
      <c r="O30" s="64"/>
      <c r="P30" s="305"/>
      <c r="Q30" s="305"/>
      <c r="R30" s="305"/>
      <c r="S30" s="305"/>
      <c r="T30" s="305"/>
      <c r="U30" s="57"/>
      <c r="V30" s="56"/>
      <c r="W30" s="3"/>
      <c r="X30" s="3"/>
      <c r="Y30" s="3"/>
      <c r="Z30" s="3"/>
      <c r="AA30" s="3"/>
    </row>
    <row r="31" spans="1:27" ht="16.5" x14ac:dyDescent="0.3">
      <c r="A31" s="56"/>
      <c r="B31" s="57"/>
      <c r="C31" s="306" t="s">
        <v>51</v>
      </c>
      <c r="D31" s="307"/>
      <c r="E31" s="308"/>
      <c r="F31" s="64"/>
      <c r="G31" s="306" t="s">
        <v>67</v>
      </c>
      <c r="H31" s="307"/>
      <c r="I31" s="308"/>
      <c r="J31" s="64"/>
      <c r="K31" s="306" t="s">
        <v>116</v>
      </c>
      <c r="L31" s="307"/>
      <c r="M31" s="307"/>
      <c r="N31" s="308"/>
      <c r="O31" s="64"/>
      <c r="P31" s="306" t="str">
        <f>INDEX(ELSUBFASE!C11:H52,MATCH(PROYEK6!K31,ELSUBFASE!B11:B52,0),MATCH(PROYEK6!E7,ELSUBFASE!C10:H10,0))</f>
        <v>Membuat penilaian yang realistis terhadap kemampuan dan minat , serta prioritas pengembangan diri berdasarkan pengalaman belajar dan aktivitas lain yang dilakukannya.</v>
      </c>
      <c r="Q31" s="307"/>
      <c r="R31" s="307"/>
      <c r="S31" s="307"/>
      <c r="T31" s="308"/>
      <c r="U31" s="57"/>
      <c r="V31" s="56"/>
      <c r="W31" s="3"/>
      <c r="X31" s="3"/>
      <c r="Y31" s="3"/>
      <c r="Z31" s="3"/>
      <c r="AA31" s="3"/>
    </row>
    <row r="32" spans="1:27" ht="16.5" x14ac:dyDescent="0.3">
      <c r="A32" s="56"/>
      <c r="B32" s="57"/>
      <c r="C32" s="309"/>
      <c r="D32" s="310"/>
      <c r="E32" s="311"/>
      <c r="F32" s="64"/>
      <c r="G32" s="309"/>
      <c r="H32" s="310"/>
      <c r="I32" s="311"/>
      <c r="J32" s="64"/>
      <c r="K32" s="309"/>
      <c r="L32" s="310"/>
      <c r="M32" s="310"/>
      <c r="N32" s="311"/>
      <c r="O32" s="64"/>
      <c r="P32" s="309"/>
      <c r="Q32" s="310"/>
      <c r="R32" s="310"/>
      <c r="S32" s="310"/>
      <c r="T32" s="311"/>
      <c r="U32" s="57"/>
      <c r="V32" s="56"/>
      <c r="W32" s="3"/>
      <c r="X32" s="3"/>
      <c r="Y32" s="3"/>
      <c r="Z32" s="3"/>
      <c r="AA32" s="3"/>
    </row>
    <row r="33" spans="1:27" ht="30" customHeight="1" thickBot="1" x14ac:dyDescent="0.35">
      <c r="A33" s="56"/>
      <c r="B33" s="57"/>
      <c r="C33" s="312"/>
      <c r="D33" s="313"/>
      <c r="E33" s="314"/>
      <c r="F33" s="64"/>
      <c r="G33" s="312"/>
      <c r="H33" s="313"/>
      <c r="I33" s="314"/>
      <c r="J33" s="64"/>
      <c r="K33" s="312"/>
      <c r="L33" s="313"/>
      <c r="M33" s="313"/>
      <c r="N33" s="314"/>
      <c r="O33" s="64"/>
      <c r="P33" s="312"/>
      <c r="Q33" s="313"/>
      <c r="R33" s="313"/>
      <c r="S33" s="313"/>
      <c r="T33" s="314"/>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05" t="s">
        <v>424</v>
      </c>
      <c r="D35" s="305"/>
      <c r="E35" s="305"/>
      <c r="F35" s="70"/>
      <c r="G35" s="305" t="s">
        <v>425</v>
      </c>
      <c r="H35" s="305"/>
      <c r="I35" s="305"/>
      <c r="J35" s="64"/>
      <c r="K35" s="305" t="s">
        <v>438</v>
      </c>
      <c r="L35" s="305"/>
      <c r="M35" s="305"/>
      <c r="N35" s="305"/>
      <c r="O35" s="64"/>
      <c r="P35" s="305" t="str">
        <f>"Capaian Fase "&amp;$E$7</f>
        <v>Capaian Fase D</v>
      </c>
      <c r="Q35" s="305"/>
      <c r="R35" s="305"/>
      <c r="S35" s="305"/>
      <c r="T35" s="305"/>
      <c r="U35" s="57"/>
      <c r="V35" s="56"/>
      <c r="W35" s="3"/>
      <c r="X35" s="3"/>
      <c r="Y35" s="3"/>
      <c r="Z35" s="3"/>
      <c r="AA35" s="3"/>
    </row>
    <row r="36" spans="1:27" ht="17.25" thickBot="1" x14ac:dyDescent="0.35">
      <c r="A36" s="56"/>
      <c r="B36" s="57"/>
      <c r="C36" s="305"/>
      <c r="D36" s="305"/>
      <c r="E36" s="305"/>
      <c r="F36" s="64"/>
      <c r="G36" s="305"/>
      <c r="H36" s="305"/>
      <c r="I36" s="305"/>
      <c r="J36" s="64"/>
      <c r="K36" s="305"/>
      <c r="L36" s="305"/>
      <c r="M36" s="305"/>
      <c r="N36" s="305"/>
      <c r="O36" s="64"/>
      <c r="P36" s="305"/>
      <c r="Q36" s="305"/>
      <c r="R36" s="305"/>
      <c r="S36" s="305"/>
      <c r="T36" s="305"/>
      <c r="U36" s="57"/>
      <c r="V36" s="56"/>
      <c r="W36" s="3"/>
      <c r="X36" s="3"/>
      <c r="Y36" s="3"/>
      <c r="Z36" s="3"/>
      <c r="AA36" s="3"/>
    </row>
    <row r="37" spans="1:27" ht="16.5" x14ac:dyDescent="0.3">
      <c r="A37" s="56"/>
      <c r="B37" s="57"/>
      <c r="C37" s="306" t="s">
        <v>52</v>
      </c>
      <c r="D37" s="307"/>
      <c r="E37" s="308"/>
      <c r="F37" s="64"/>
      <c r="G37" s="306" t="s">
        <v>71</v>
      </c>
      <c r="H37" s="307"/>
      <c r="I37" s="308"/>
      <c r="J37" s="64"/>
      <c r="K37" s="306" t="s">
        <v>129</v>
      </c>
      <c r="L37" s="307"/>
      <c r="M37" s="307"/>
      <c r="N37" s="308"/>
      <c r="O37" s="64"/>
      <c r="P37" s="306" t="str">
        <f>INDEX(ELSUBFASE!C11:H52,MATCH(PROYEK6!K37,ELSUBFASE!B11:B52,0),MATCH(PROYEK6!E7,ELSUBFASE!C10:H10,0))</f>
        <v>Menjelaskan asumsi yang digunakan, menyadari kecenderungan dan konsekuensi bias pada pemikirannya, serta berusaha mempertimbangkan perspektif yang berbeda.</v>
      </c>
      <c r="Q37" s="307"/>
      <c r="R37" s="307"/>
      <c r="S37" s="307"/>
      <c r="T37" s="308"/>
      <c r="U37" s="57"/>
      <c r="V37" s="56"/>
      <c r="W37" s="3"/>
      <c r="X37" s="3"/>
      <c r="Y37" s="3"/>
      <c r="Z37" s="3"/>
      <c r="AA37" s="3"/>
    </row>
    <row r="38" spans="1:27" ht="16.5" x14ac:dyDescent="0.3">
      <c r="A38" s="56"/>
      <c r="B38" s="57"/>
      <c r="C38" s="309"/>
      <c r="D38" s="310"/>
      <c r="E38" s="311"/>
      <c r="F38" s="64"/>
      <c r="G38" s="309"/>
      <c r="H38" s="310"/>
      <c r="I38" s="311"/>
      <c r="J38" s="64"/>
      <c r="K38" s="309"/>
      <c r="L38" s="310"/>
      <c r="M38" s="310"/>
      <c r="N38" s="311"/>
      <c r="O38" s="64"/>
      <c r="P38" s="309"/>
      <c r="Q38" s="310"/>
      <c r="R38" s="310"/>
      <c r="S38" s="310"/>
      <c r="T38" s="311"/>
      <c r="U38" s="57"/>
      <c r="V38" s="56"/>
      <c r="W38" s="3"/>
      <c r="X38" s="3"/>
      <c r="Y38" s="3"/>
      <c r="Z38" s="3"/>
      <c r="AA38" s="3"/>
    </row>
    <row r="39" spans="1:27" ht="30.75" customHeight="1" thickBot="1" x14ac:dyDescent="0.35">
      <c r="A39" s="56"/>
      <c r="B39" s="57"/>
      <c r="C39" s="312"/>
      <c r="D39" s="313"/>
      <c r="E39" s="314"/>
      <c r="F39" s="64"/>
      <c r="G39" s="312"/>
      <c r="H39" s="313"/>
      <c r="I39" s="314"/>
      <c r="J39" s="64"/>
      <c r="K39" s="312"/>
      <c r="L39" s="313"/>
      <c r="M39" s="313"/>
      <c r="N39" s="314"/>
      <c r="O39" s="64"/>
      <c r="P39" s="312"/>
      <c r="Q39" s="313"/>
      <c r="R39" s="313"/>
      <c r="S39" s="313"/>
      <c r="T39" s="314"/>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05" t="s">
        <v>426</v>
      </c>
      <c r="D41" s="305"/>
      <c r="E41" s="305"/>
      <c r="F41" s="72"/>
      <c r="G41" s="305" t="s">
        <v>427</v>
      </c>
      <c r="H41" s="305"/>
      <c r="I41" s="305"/>
      <c r="J41" s="71"/>
      <c r="K41" s="305" t="s">
        <v>431</v>
      </c>
      <c r="L41" s="305"/>
      <c r="M41" s="305"/>
      <c r="N41" s="305"/>
      <c r="O41" s="71"/>
      <c r="P41" s="305" t="str">
        <f>"Capaian Fase "&amp;$E$7</f>
        <v>Capaian Fase D</v>
      </c>
      <c r="Q41" s="305"/>
      <c r="R41" s="305"/>
      <c r="S41" s="305"/>
      <c r="T41" s="305"/>
      <c r="U41" s="57"/>
      <c r="V41" s="56"/>
      <c r="W41" s="3"/>
      <c r="X41" s="3"/>
      <c r="Y41" s="3"/>
      <c r="Z41" s="3"/>
      <c r="AA41" s="3"/>
    </row>
    <row r="42" spans="1:27" ht="17.25" thickBot="1" x14ac:dyDescent="0.25">
      <c r="A42" s="56"/>
      <c r="B42" s="57"/>
      <c r="C42" s="305"/>
      <c r="D42" s="305"/>
      <c r="E42" s="305"/>
      <c r="F42" s="71"/>
      <c r="G42" s="305"/>
      <c r="H42" s="305"/>
      <c r="I42" s="305"/>
      <c r="J42" s="71"/>
      <c r="K42" s="305"/>
      <c r="L42" s="305"/>
      <c r="M42" s="305"/>
      <c r="N42" s="305"/>
      <c r="O42" s="71"/>
      <c r="P42" s="305"/>
      <c r="Q42" s="305"/>
      <c r="R42" s="305"/>
      <c r="S42" s="305"/>
      <c r="T42" s="305"/>
      <c r="U42" s="57"/>
      <c r="V42" s="56"/>
      <c r="W42" s="3"/>
      <c r="X42" s="3"/>
      <c r="Y42" s="3"/>
      <c r="Z42" s="3"/>
      <c r="AA42" s="3"/>
    </row>
    <row r="43" spans="1:27" ht="16.5" x14ac:dyDescent="0.3">
      <c r="A43" s="56"/>
      <c r="B43" s="57"/>
      <c r="C43" s="306" t="s">
        <v>53</v>
      </c>
      <c r="D43" s="307"/>
      <c r="E43" s="308"/>
      <c r="F43" s="64"/>
      <c r="G43" s="306" t="s">
        <v>70</v>
      </c>
      <c r="H43" s="307"/>
      <c r="I43" s="308"/>
      <c r="J43" s="64"/>
      <c r="K43" s="306" t="s">
        <v>70</v>
      </c>
      <c r="L43" s="307"/>
      <c r="M43" s="307"/>
      <c r="N43" s="308"/>
      <c r="O43" s="64"/>
      <c r="P43" s="306" t="str">
        <f>INDEX(ELSUBFASE!C11:H52,MATCH(PROYEK6!K43,ELSUBFASE!B11:B52,0),MATCH(PROYEK6!E7,ELSUBFASE!C10:H10,0))</f>
        <v>Membuktikan penalaran dengan berbagai argumen dalam mengambil suatu simpulan atau keputusan.</v>
      </c>
      <c r="Q43" s="307"/>
      <c r="R43" s="307"/>
      <c r="S43" s="307"/>
      <c r="T43" s="308"/>
      <c r="U43" s="57"/>
      <c r="V43" s="56"/>
      <c r="W43" s="3"/>
      <c r="X43" s="3"/>
      <c r="Y43" s="3"/>
      <c r="Z43" s="3"/>
      <c r="AA43" s="3"/>
    </row>
    <row r="44" spans="1:27" ht="16.5" x14ac:dyDescent="0.3">
      <c r="A44" s="56"/>
      <c r="B44" s="57"/>
      <c r="C44" s="309"/>
      <c r="D44" s="310"/>
      <c r="E44" s="311"/>
      <c r="F44" s="64"/>
      <c r="G44" s="309"/>
      <c r="H44" s="310"/>
      <c r="I44" s="311"/>
      <c r="J44" s="64"/>
      <c r="K44" s="309"/>
      <c r="L44" s="310"/>
      <c r="M44" s="310"/>
      <c r="N44" s="311"/>
      <c r="O44" s="64"/>
      <c r="P44" s="309"/>
      <c r="Q44" s="310"/>
      <c r="R44" s="310"/>
      <c r="S44" s="310"/>
      <c r="T44" s="311"/>
      <c r="U44" s="57"/>
      <c r="V44" s="56"/>
      <c r="W44" s="3"/>
      <c r="X44" s="3"/>
      <c r="Y44" s="3"/>
      <c r="Z44" s="3"/>
      <c r="AA44" s="3"/>
    </row>
    <row r="45" spans="1:27" ht="29.25" customHeight="1" thickBot="1" x14ac:dyDescent="0.35">
      <c r="A45" s="56"/>
      <c r="B45" s="57"/>
      <c r="C45" s="312"/>
      <c r="D45" s="313"/>
      <c r="E45" s="314"/>
      <c r="F45" s="64"/>
      <c r="G45" s="312"/>
      <c r="H45" s="313"/>
      <c r="I45" s="314"/>
      <c r="J45" s="64"/>
      <c r="K45" s="312"/>
      <c r="L45" s="313"/>
      <c r="M45" s="313"/>
      <c r="N45" s="314"/>
      <c r="O45" s="64"/>
      <c r="P45" s="312"/>
      <c r="Q45" s="313"/>
      <c r="R45" s="313"/>
      <c r="S45" s="313"/>
      <c r="T45" s="314"/>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05" t="s">
        <v>432</v>
      </c>
      <c r="D47" s="305"/>
      <c r="E47" s="305"/>
      <c r="F47" s="70"/>
      <c r="G47" s="305" t="s">
        <v>440</v>
      </c>
      <c r="H47" s="305"/>
      <c r="I47" s="305"/>
      <c r="J47" s="64"/>
      <c r="K47" s="305" t="s">
        <v>439</v>
      </c>
      <c r="L47" s="305"/>
      <c r="M47" s="305"/>
      <c r="N47" s="305"/>
      <c r="O47" s="64"/>
      <c r="P47" s="305" t="str">
        <f>"Capaian Fase "&amp;$E$7</f>
        <v>Capaian Fase D</v>
      </c>
      <c r="Q47" s="305"/>
      <c r="R47" s="305"/>
      <c r="S47" s="305"/>
      <c r="T47" s="305"/>
      <c r="U47" s="57"/>
      <c r="V47" s="56"/>
      <c r="W47" s="3"/>
      <c r="X47" s="3"/>
      <c r="Y47" s="3"/>
      <c r="Z47" s="3"/>
      <c r="AA47" s="3"/>
    </row>
    <row r="48" spans="1:27" ht="17.25" thickBot="1" x14ac:dyDescent="0.35">
      <c r="A48" s="56"/>
      <c r="B48" s="57"/>
      <c r="C48" s="305"/>
      <c r="D48" s="305"/>
      <c r="E48" s="305"/>
      <c r="F48" s="64"/>
      <c r="G48" s="305"/>
      <c r="H48" s="305"/>
      <c r="I48" s="305"/>
      <c r="J48" s="64"/>
      <c r="K48" s="305"/>
      <c r="L48" s="305"/>
      <c r="M48" s="305"/>
      <c r="N48" s="305"/>
      <c r="O48" s="64"/>
      <c r="P48" s="305"/>
      <c r="Q48" s="305"/>
      <c r="R48" s="305"/>
      <c r="S48" s="305"/>
      <c r="T48" s="305"/>
      <c r="U48" s="57"/>
      <c r="V48" s="56"/>
      <c r="W48" s="3"/>
      <c r="X48" s="3"/>
      <c r="Y48" s="3"/>
      <c r="Z48" s="3"/>
      <c r="AA48" s="3"/>
    </row>
    <row r="49" spans="1:27" ht="16.5" x14ac:dyDescent="0.3">
      <c r="A49" s="56"/>
      <c r="B49" s="57"/>
      <c r="C49" s="306" t="s">
        <v>50</v>
      </c>
      <c r="D49" s="307"/>
      <c r="E49" s="308"/>
      <c r="F49" s="64"/>
      <c r="G49" s="306" t="s">
        <v>64</v>
      </c>
      <c r="H49" s="307"/>
      <c r="I49" s="308"/>
      <c r="J49" s="64"/>
      <c r="K49" s="306" t="s">
        <v>107</v>
      </c>
      <c r="L49" s="307"/>
      <c r="M49" s="307"/>
      <c r="N49" s="308"/>
      <c r="O49" s="64"/>
      <c r="P49" s="306" t="str">
        <f>INDEX(ELSUBFASE!C11:H52,MATCH(PROYEK6!K49,ELSUBFASE!B11:B52,0),MATCH(PROYEK6!E7,ELSUBFASE!C10:H10,0))</f>
        <v>Menyelaraskan tindakan sendiri dengan tindakan orang lain untuk melaksanakan kegiatan dan mencapai tujuan kelompok di lingkungan sekitar, serta memberi semangat kepada orang lain untuk bekerja efektif dan mencapai tujuan bersama.</v>
      </c>
      <c r="Q49" s="307"/>
      <c r="R49" s="307"/>
      <c r="S49" s="307"/>
      <c r="T49" s="308"/>
      <c r="U49" s="57"/>
      <c r="V49" s="56"/>
      <c r="W49" s="3"/>
      <c r="X49" s="3"/>
      <c r="Y49" s="3"/>
      <c r="Z49" s="3"/>
      <c r="AA49" s="3"/>
    </row>
    <row r="50" spans="1:27" ht="16.5" x14ac:dyDescent="0.3">
      <c r="A50" s="56"/>
      <c r="B50" s="57"/>
      <c r="C50" s="309"/>
      <c r="D50" s="310"/>
      <c r="E50" s="311"/>
      <c r="F50" s="64"/>
      <c r="G50" s="309"/>
      <c r="H50" s="310"/>
      <c r="I50" s="311"/>
      <c r="J50" s="64"/>
      <c r="K50" s="309"/>
      <c r="L50" s="310"/>
      <c r="M50" s="310"/>
      <c r="N50" s="311"/>
      <c r="O50" s="64"/>
      <c r="P50" s="309"/>
      <c r="Q50" s="310"/>
      <c r="R50" s="310"/>
      <c r="S50" s="310"/>
      <c r="T50" s="311"/>
      <c r="U50" s="57"/>
      <c r="V50" s="56"/>
      <c r="W50" s="3"/>
      <c r="X50" s="3"/>
      <c r="Y50" s="3"/>
      <c r="Z50" s="3"/>
      <c r="AA50" s="3"/>
    </row>
    <row r="51" spans="1:27" ht="31.5" customHeight="1" thickBot="1" x14ac:dyDescent="0.35">
      <c r="A51" s="56"/>
      <c r="B51" s="57"/>
      <c r="C51" s="312"/>
      <c r="D51" s="313"/>
      <c r="E51" s="314"/>
      <c r="F51" s="64"/>
      <c r="G51" s="312"/>
      <c r="H51" s="313"/>
      <c r="I51" s="314"/>
      <c r="J51" s="64"/>
      <c r="K51" s="312"/>
      <c r="L51" s="313"/>
      <c r="M51" s="313"/>
      <c r="N51" s="314"/>
      <c r="O51" s="64"/>
      <c r="P51" s="312"/>
      <c r="Q51" s="313"/>
      <c r="R51" s="313"/>
      <c r="S51" s="313"/>
      <c r="T51" s="314"/>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9:E51"/>
    <mergeCell ref="G49:I51"/>
    <mergeCell ref="K49:N51"/>
    <mergeCell ref="P49:T51"/>
    <mergeCell ref="C43:E45"/>
    <mergeCell ref="G43:I45"/>
    <mergeCell ref="K43:N45"/>
    <mergeCell ref="P43:T45"/>
    <mergeCell ref="C47:E48"/>
    <mergeCell ref="G47:I48"/>
    <mergeCell ref="K47:N48"/>
    <mergeCell ref="P47:T48"/>
    <mergeCell ref="C37:E39"/>
    <mergeCell ref="G37:I39"/>
    <mergeCell ref="K37:N39"/>
    <mergeCell ref="P37:T39"/>
    <mergeCell ref="C41:E42"/>
    <mergeCell ref="G41:I42"/>
    <mergeCell ref="K41:N42"/>
    <mergeCell ref="P41:T42"/>
    <mergeCell ref="C31:E33"/>
    <mergeCell ref="G31:I33"/>
    <mergeCell ref="K31:N33"/>
    <mergeCell ref="P31:T33"/>
    <mergeCell ref="C35:E36"/>
    <mergeCell ref="G35:I36"/>
    <mergeCell ref="K35:N36"/>
    <mergeCell ref="P35:T36"/>
    <mergeCell ref="C25:E27"/>
    <mergeCell ref="G25:I27"/>
    <mergeCell ref="K25:N27"/>
    <mergeCell ref="P25:T27"/>
    <mergeCell ref="C29:E30"/>
    <mergeCell ref="G29:I30"/>
    <mergeCell ref="K29:N30"/>
    <mergeCell ref="P29:T30"/>
    <mergeCell ref="C19:E21"/>
    <mergeCell ref="G19:I21"/>
    <mergeCell ref="K19:N21"/>
    <mergeCell ref="P19:T21"/>
    <mergeCell ref="C23:E24"/>
    <mergeCell ref="G23:I24"/>
    <mergeCell ref="K23:N24"/>
    <mergeCell ref="P23:T24"/>
    <mergeCell ref="C13:E15"/>
    <mergeCell ref="G13:I15"/>
    <mergeCell ref="K13:N15"/>
    <mergeCell ref="P13:T15"/>
    <mergeCell ref="C17:E18"/>
    <mergeCell ref="G17:I18"/>
    <mergeCell ref="K17:N18"/>
    <mergeCell ref="P17:T18"/>
    <mergeCell ref="C3:T3"/>
    <mergeCell ref="E6:I6"/>
    <mergeCell ref="C11:E12"/>
    <mergeCell ref="G11:I12"/>
    <mergeCell ref="K11:N12"/>
    <mergeCell ref="P11:T12"/>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700-000000000000}">
          <x14:formula1>
            <xm:f>DIMEL!$B$10:$B$23</xm:f>
          </x14:formula1>
          <xm:sqref>E8:E9</xm:sqref>
        </x14:dataValidation>
        <x14:dataValidation type="list" allowBlank="1" showInputMessage="1" showErrorMessage="1" xr:uid="{00000000-0002-0000-1700-000001000000}">
          <x14:formula1>
            <xm:f>OFFSET(ELSUBFASE!$A$3,1,MATCH($G$49,ELSUBFASE!$B$3:$U$3,0),5,1)</xm:f>
          </x14:formula1>
          <xm:sqref>K49:N51</xm:sqref>
        </x14:dataValidation>
        <x14:dataValidation type="list" allowBlank="1" showInputMessage="1" showErrorMessage="1" xr:uid="{00000000-0002-0000-1700-000002000000}">
          <x14:formula1>
            <xm:f>CHOOSE(MATCH($C$49,DIMEL!$B$3:$G$3,0),DIMEL!$B$4:$B$8,DIMEL!$C$4:$C$7,DIMEL!$D$4:$D$6,DIMEL!$E$4:$E$5,DIMEL!$F$4:$F$6,DIMEL!$G$4:$G$6)</xm:f>
          </x14:formula1>
          <xm:sqref>G49:I51</xm:sqref>
        </x14:dataValidation>
        <x14:dataValidation type="list" allowBlank="1" showInputMessage="1" showErrorMessage="1" xr:uid="{00000000-0002-0000-1700-000003000000}">
          <x14:formula1>
            <xm:f>OFFSET(ELSUBFASE!$A$3,1,MATCH($G$43,ELSUBFASE!$B$3:$U$3,0),5,1)</xm:f>
          </x14:formula1>
          <xm:sqref>K43:N45</xm:sqref>
        </x14:dataValidation>
        <x14:dataValidation type="list" allowBlank="1" showInputMessage="1" showErrorMessage="1" xr:uid="{00000000-0002-0000-1700-000004000000}">
          <x14:formula1>
            <xm:f>CHOOSE(MATCH($C$43,DIMEL!$B$3:$G$3,0),DIMEL!$B$4:$B$8,DIMEL!$C$4:$C$7,DIMEL!$D$4:$D$6,DIMEL!$E$4:$E$5,DIMEL!$F$4:$F$6,DIMEL!$G$4:$G$6)</xm:f>
          </x14:formula1>
          <xm:sqref>G43:I45</xm:sqref>
        </x14:dataValidation>
        <x14:dataValidation type="list" allowBlank="1" showInputMessage="1" showErrorMessage="1" xr:uid="{00000000-0002-0000-1700-000005000000}">
          <x14:formula1>
            <xm:f>OFFSET(ELSUBFASE!$A$3,1,MATCH($G$37,ELSUBFASE!$B$3:$U$3,0),5,1)</xm:f>
          </x14:formula1>
          <xm:sqref>K37:N39</xm:sqref>
        </x14:dataValidation>
        <x14:dataValidation type="list" allowBlank="1" showInputMessage="1" showErrorMessage="1" xr:uid="{00000000-0002-0000-1700-000006000000}">
          <x14:formula1>
            <xm:f>CHOOSE(MATCH($C$37,DIMEL!$B$3:$G$3,0),DIMEL!$B$4:$B$8,DIMEL!$C$4:$C$7,DIMEL!$D$4:$D$6,DIMEL!$E$4:$E$5,DIMEL!$F$4:$F$6,DIMEL!$G$4:$G$6)</xm:f>
          </x14:formula1>
          <xm:sqref>G37:I39</xm:sqref>
        </x14:dataValidation>
        <x14:dataValidation type="list" allowBlank="1" showInputMessage="1" showErrorMessage="1" xr:uid="{00000000-0002-0000-1700-000007000000}">
          <x14:formula1>
            <xm:f>OFFSET(ELSUBFASE!$A$3,1,MATCH($G$31,ELSUBFASE!$B$3:$U$3,0),5,1)</xm:f>
          </x14:formula1>
          <xm:sqref>K31:N34</xm:sqref>
        </x14:dataValidation>
        <x14:dataValidation type="list" allowBlank="1" showInputMessage="1" showErrorMessage="1" xr:uid="{00000000-0002-0000-1700-000008000000}">
          <x14:formula1>
            <xm:f>CHOOSE(MATCH($C$31,DIMEL!$B$3:$G$3,0),DIMEL!$B$4:$B$8,DIMEL!$C$4:$C$7,DIMEL!$D$4:$D$6,DIMEL!$E$4:$E$5,DIMEL!$F$4:$F$6,DIMEL!$G$4:$G$6)</xm:f>
          </x14:formula1>
          <xm:sqref>G31:I34</xm:sqref>
        </x14:dataValidation>
        <x14:dataValidation type="list" allowBlank="1" showInputMessage="1" showErrorMessage="1" xr:uid="{00000000-0002-0000-1700-000009000000}">
          <x14:formula1>
            <xm:f>OFFSET(ELSUBFASE!$A$3,1,MATCH($G$25,ELSUBFASE!$B$3:$U$3,0),5,1)</xm:f>
          </x14:formula1>
          <xm:sqref>K25:N27</xm:sqref>
        </x14:dataValidation>
        <x14:dataValidation type="list" allowBlank="1" showInputMessage="1" showErrorMessage="1" xr:uid="{00000000-0002-0000-1700-00000A000000}">
          <x14:formula1>
            <xm:f>CHOOSE(MATCH($C$25,DIMEL!$B$3:$G$3,0),DIMEL!$B$4:$B$8,DIMEL!$C$4:$C$7,DIMEL!$D$4:$D$6,DIMEL!$E$4:$E$5,DIMEL!$F$4:$F$6,DIMEL!$G$4:$G$6)</xm:f>
          </x14:formula1>
          <xm:sqref>G25:I27</xm:sqref>
        </x14:dataValidation>
        <x14:dataValidation type="list" allowBlank="1" showInputMessage="1" showErrorMessage="1" xr:uid="{00000000-0002-0000-1700-00000B000000}">
          <x14:formula1>
            <xm:f>OFFSET(ELSUBFASE!$A$3,1,MATCH($G$19,ELSUBFASE!$B$3:$U$3,0),5,1)</xm:f>
          </x14:formula1>
          <xm:sqref>K19:N21</xm:sqref>
        </x14:dataValidation>
        <x14:dataValidation type="list" allowBlank="1" showInputMessage="1" showErrorMessage="1" xr:uid="{00000000-0002-0000-1700-00000C000000}">
          <x14:formula1>
            <xm:f>CHOOSE(MATCH($C$19,DIMEL!$B$3:$G$3,0),DIMEL!$B$4:$B$8,DIMEL!$C$4:$C$7,DIMEL!$D$4:$D$6,DIMEL!$E$4:$E$5,DIMEL!$F$4:$F$6,DIMEL!$G$4:$G$6)</xm:f>
          </x14:formula1>
          <xm:sqref>G19:I21</xm:sqref>
        </x14:dataValidation>
        <x14:dataValidation type="list" allowBlank="1" showInputMessage="1" showErrorMessage="1" xr:uid="{00000000-0002-0000-1700-00000D000000}">
          <x14:formula1>
            <xm:f>ELSUBFASE!$C$10:$H$10</xm:f>
          </x14:formula1>
          <xm:sqref>E7</xm:sqref>
        </x14:dataValidation>
        <x14:dataValidation type="list" allowBlank="1" showInputMessage="1" showErrorMessage="1" xr:uid="{00000000-0002-0000-1700-00000E000000}">
          <x14:formula1>
            <xm:f>OFFSET(ELSUBFASE!$A$3,1,MATCH($G$13,ELSUBFASE!$B$3:$U$3,0),5,1)</xm:f>
          </x14:formula1>
          <xm:sqref>K13:N15</xm:sqref>
        </x14:dataValidation>
        <x14:dataValidation type="list" allowBlank="1" showInputMessage="1" showErrorMessage="1" xr:uid="{00000000-0002-0000-1700-00000F000000}">
          <x14:formula1>
            <xm:f>CHOOSE(MATCH($C$13,DIMEL!$B$3:$G$3,0),DIMEL!$B$4:$B$8,DIMEL!$C$4:$C$7,DIMEL!$D$4:$D$6,DIMEL!$E$4:$E$5,DIMEL!$F$4:$F$6,DIMEL!$G$4:$G$6)</xm:f>
          </x14:formula1>
          <xm:sqref>G13</xm:sqref>
        </x14:dataValidation>
        <x14:dataValidation type="list" allowBlank="1" showInputMessage="1" showErrorMessage="1" xr:uid="{00000000-0002-0000-1700-000010000000}">
          <x14:formula1>
            <xm:f>DIMEL!$B$3:$G$3</xm:f>
          </x14:formula1>
          <xm:sqref>C13 C19 C25 C31 C37 C43 C49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480</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33" x14ac:dyDescent="0.3">
      <c r="A5" s="1"/>
      <c r="B5" s="130" t="s">
        <v>456</v>
      </c>
      <c r="C5" s="131"/>
      <c r="D5" s="132" t="str">
        <f>IDENTITAS!H15</f>
        <v>Untuk Pengisian NIP diawal dengan tanda koma atas (')</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PROYEK6!P13</f>
        <v>Merefleksikan secara kritis gambaran berbagai kelompok budaya yang ditemui dan cara meresponnya.</v>
      </c>
      <c r="F12" s="431"/>
      <c r="G12" s="431"/>
      <c r="H12" s="432"/>
      <c r="I12" s="433" t="str">
        <f>PROYEK6!P19</f>
        <v>Menjelaskan asumsi yang digunakan, menyadari kecenderungan dan konsekuensi bias pada pemikirannya, serta berusaha mempertimbangkan perspektif yang berbeda.</v>
      </c>
      <c r="J12" s="434"/>
      <c r="K12" s="434"/>
      <c r="L12" s="435"/>
      <c r="M12" s="436" t="str">
        <f>PROYEK6!P25</f>
        <v>Menggunakan pengetahuan tentang sebab dan alasan orang lain menampilkan reaksi tertentu untuk menentukan tindakan yang tepat agar orang lain menampilkan respon yang diharapkan.</v>
      </c>
      <c r="N12" s="437"/>
      <c r="O12" s="437"/>
      <c r="P12" s="438"/>
      <c r="Q12" s="439" t="str">
        <f>PROYEK6!P31</f>
        <v>Membuat penilaian yang realistis terhadap kemampuan dan minat , serta prioritas pengembangan diri berdasarkan pengalaman belajar dan aktivitas lain yang dilakukannya.</v>
      </c>
      <c r="R12" s="440"/>
      <c r="S12" s="440"/>
      <c r="T12" s="441"/>
      <c r="U12" s="442" t="str">
        <f>PROYEK6!P37</f>
        <v>Menjelaskan asumsi yang digunakan, menyadari kecenderungan dan konsekuensi bias pada pemikirannya, serta berusaha mempertimbangkan perspektif yang berbeda.</v>
      </c>
      <c r="V12" s="443"/>
      <c r="W12" s="443"/>
      <c r="X12" s="444"/>
      <c r="Y12" s="445" t="str">
        <f>PROYEK6!P43</f>
        <v>Membuktikan penalaran dengan berbagai argumen dalam mengambil suatu simpulan atau keputusan.</v>
      </c>
      <c r="Z12" s="446"/>
      <c r="AA12" s="446"/>
      <c r="AB12" s="447"/>
      <c r="AC12" s="448" t="str">
        <f>PROYEK6!P49</f>
        <v>Menyelaraskan tindakan sendiri dengan tindakan orang lain untuk melaksanakan kegiatan dan mencapai tujuan kelompok di lingkungan sekitar, serta memberi semangat kepada orang lain untuk bekerja efektif dan mencapai tujuan bersama.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B3:G23"/>
  <sheetViews>
    <sheetView topLeftCell="A6" workbookViewId="0">
      <selection activeCell="B17" sqref="B17"/>
    </sheetView>
  </sheetViews>
  <sheetFormatPr defaultRowHeight="15" x14ac:dyDescent="0.25"/>
  <cols>
    <col min="1" max="1" width="9.140625" style="49"/>
    <col min="2" max="7" width="21.42578125" style="49" customWidth="1"/>
    <col min="8" max="17" width="19.85546875" style="49" customWidth="1"/>
    <col min="18" max="16384" width="9.140625" style="49"/>
  </cols>
  <sheetData>
    <row r="3" spans="2:7" s="50" customFormat="1" ht="60" x14ac:dyDescent="0.25">
      <c r="B3" s="50" t="s">
        <v>48</v>
      </c>
      <c r="C3" s="50" t="s">
        <v>49</v>
      </c>
      <c r="D3" s="50" t="s">
        <v>50</v>
      </c>
      <c r="E3" s="50" t="s">
        <v>51</v>
      </c>
      <c r="F3" s="50" t="s">
        <v>52</v>
      </c>
      <c r="G3" s="50" t="s">
        <v>53</v>
      </c>
    </row>
    <row r="4" spans="2:7" ht="45" customHeight="1" x14ac:dyDescent="0.25">
      <c r="B4" s="49" t="s">
        <v>55</v>
      </c>
      <c r="C4" s="49" t="s">
        <v>60</v>
      </c>
      <c r="D4" s="49" t="s">
        <v>64</v>
      </c>
      <c r="E4" s="49" t="s">
        <v>67</v>
      </c>
      <c r="F4" s="49" t="s">
        <v>69</v>
      </c>
      <c r="G4" s="49" t="s">
        <v>72</v>
      </c>
    </row>
    <row r="5" spans="2:7" ht="60" x14ac:dyDescent="0.25">
      <c r="B5" s="49" t="s">
        <v>56</v>
      </c>
      <c r="C5" s="49" t="s">
        <v>61</v>
      </c>
      <c r="D5" s="49" t="s">
        <v>65</v>
      </c>
      <c r="E5" s="49" t="s">
        <v>68</v>
      </c>
      <c r="F5" s="49" t="s">
        <v>70</v>
      </c>
      <c r="G5" s="49" t="s">
        <v>73</v>
      </c>
    </row>
    <row r="6" spans="2:7" ht="60" x14ac:dyDescent="0.25">
      <c r="B6" s="49" t="s">
        <v>57</v>
      </c>
      <c r="C6" s="49" t="s">
        <v>62</v>
      </c>
      <c r="D6" s="49" t="s">
        <v>66</v>
      </c>
      <c r="F6" s="49" t="s">
        <v>71</v>
      </c>
      <c r="G6" s="49" t="s">
        <v>74</v>
      </c>
    </row>
    <row r="7" spans="2:7" x14ac:dyDescent="0.25">
      <c r="B7" s="49" t="s">
        <v>58</v>
      </c>
      <c r="C7" s="49" t="s">
        <v>63</v>
      </c>
    </row>
    <row r="8" spans="2:7" x14ac:dyDescent="0.25">
      <c r="B8" s="49" t="s">
        <v>59</v>
      </c>
    </row>
    <row r="10" spans="2:7" x14ac:dyDescent="0.25">
      <c r="B10" s="49" t="s">
        <v>151</v>
      </c>
    </row>
    <row r="11" spans="2:7" x14ac:dyDescent="0.25">
      <c r="B11" s="49" t="s">
        <v>152</v>
      </c>
    </row>
    <row r="12" spans="2:7" x14ac:dyDescent="0.25">
      <c r="B12" s="49" t="s">
        <v>43</v>
      </c>
    </row>
    <row r="13" spans="2:7" x14ac:dyDescent="0.25">
      <c r="B13" s="49" t="s">
        <v>153</v>
      </c>
    </row>
    <row r="14" spans="2:7" x14ac:dyDescent="0.25">
      <c r="B14" s="49" t="s">
        <v>154</v>
      </c>
    </row>
    <row r="15" spans="2:7" x14ac:dyDescent="0.25">
      <c r="B15" s="49" t="s">
        <v>155</v>
      </c>
    </row>
    <row r="16" spans="2:7" x14ac:dyDescent="0.25">
      <c r="B16" s="49" t="s">
        <v>156</v>
      </c>
    </row>
    <row r="17" spans="2:2" x14ac:dyDescent="0.25">
      <c r="B17" s="49" t="s">
        <v>157</v>
      </c>
    </row>
    <row r="18" spans="2:2" x14ac:dyDescent="0.25">
      <c r="B18" s="49" t="s">
        <v>158</v>
      </c>
    </row>
    <row r="19" spans="2:2" x14ac:dyDescent="0.25">
      <c r="B19" s="49" t="s">
        <v>159</v>
      </c>
    </row>
    <row r="20" spans="2:2" x14ac:dyDescent="0.25">
      <c r="B20" s="49" t="s">
        <v>160</v>
      </c>
    </row>
    <row r="21" spans="2:2" x14ac:dyDescent="0.25">
      <c r="B21" s="49" t="s">
        <v>161</v>
      </c>
    </row>
    <row r="22" spans="2:2" x14ac:dyDescent="0.25">
      <c r="B22" s="49" t="s">
        <v>162</v>
      </c>
    </row>
    <row r="23" spans="2:2" x14ac:dyDescent="0.25">
      <c r="B23" s="49" t="s">
        <v>163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U52"/>
  <sheetViews>
    <sheetView topLeftCell="A3" zoomScale="87" zoomScaleNormal="87" workbookViewId="0">
      <selection activeCell="B52" sqref="B52"/>
    </sheetView>
  </sheetViews>
  <sheetFormatPr defaultRowHeight="15" x14ac:dyDescent="0.25"/>
  <sheetData>
    <row r="1" spans="1:21" x14ac:dyDescent="0.25">
      <c r="A1" s="52"/>
      <c r="B1" s="52"/>
      <c r="C1" s="52"/>
      <c r="D1" s="52"/>
      <c r="E1" s="52"/>
      <c r="F1" s="52"/>
      <c r="G1" s="52"/>
      <c r="H1" s="52"/>
      <c r="I1" s="52"/>
      <c r="J1" s="52"/>
      <c r="K1" s="52"/>
      <c r="L1" s="52"/>
      <c r="M1" s="52"/>
      <c r="N1" s="52"/>
      <c r="O1" s="52"/>
      <c r="P1" s="52"/>
      <c r="Q1" s="52"/>
      <c r="R1" s="52"/>
      <c r="S1" s="52"/>
      <c r="T1" s="52"/>
      <c r="U1" s="52"/>
    </row>
    <row r="2" spans="1:21" s="53" customFormat="1" x14ac:dyDescent="0.25">
      <c r="A2" s="54"/>
      <c r="B2" s="54">
        <v>1</v>
      </c>
      <c r="C2" s="54"/>
      <c r="D2" s="54"/>
      <c r="E2" s="54"/>
      <c r="F2" s="54"/>
      <c r="G2" s="54">
        <v>2</v>
      </c>
      <c r="H2" s="54"/>
      <c r="I2" s="54"/>
      <c r="J2" s="54"/>
      <c r="K2" s="54">
        <v>3</v>
      </c>
      <c r="L2" s="54"/>
      <c r="M2" s="54"/>
      <c r="N2" s="54">
        <v>4</v>
      </c>
      <c r="O2" s="54"/>
      <c r="P2" s="54">
        <v>5</v>
      </c>
      <c r="Q2" s="54"/>
      <c r="R2" s="54"/>
      <c r="S2" s="54">
        <v>6</v>
      </c>
      <c r="T2" s="54"/>
      <c r="U2" s="54"/>
    </row>
    <row r="3" spans="1:21" x14ac:dyDescent="0.25">
      <c r="A3" s="52"/>
      <c r="B3" s="52" t="s">
        <v>55</v>
      </c>
      <c r="C3" s="52" t="s">
        <v>56</v>
      </c>
      <c r="D3" s="52" t="s">
        <v>57</v>
      </c>
      <c r="E3" s="52" t="s">
        <v>58</v>
      </c>
      <c r="F3" s="52" t="s">
        <v>59</v>
      </c>
      <c r="G3" s="52" t="s">
        <v>60</v>
      </c>
      <c r="H3" s="52" t="s">
        <v>61</v>
      </c>
      <c r="I3" s="52" t="s">
        <v>62</v>
      </c>
      <c r="J3" s="52" t="s">
        <v>63</v>
      </c>
      <c r="K3" s="52" t="s">
        <v>64</v>
      </c>
      <c r="L3" s="52" t="s">
        <v>65</v>
      </c>
      <c r="M3" s="52" t="s">
        <v>66</v>
      </c>
      <c r="N3" s="52" t="s">
        <v>67</v>
      </c>
      <c r="O3" s="52" t="s">
        <v>68</v>
      </c>
      <c r="P3" s="52" t="s">
        <v>69</v>
      </c>
      <c r="Q3" s="52" t="s">
        <v>70</v>
      </c>
      <c r="R3" s="52" t="s">
        <v>71</v>
      </c>
      <c r="S3" s="52" t="s">
        <v>72</v>
      </c>
      <c r="T3" s="52" t="s">
        <v>73</v>
      </c>
      <c r="U3" s="52" t="s">
        <v>74</v>
      </c>
    </row>
    <row r="4" spans="1:21" x14ac:dyDescent="0.25">
      <c r="A4" s="52"/>
      <c r="B4" s="52" t="s">
        <v>76</v>
      </c>
      <c r="C4" s="52" t="s">
        <v>81</v>
      </c>
      <c r="D4" s="52" t="s">
        <v>84</v>
      </c>
      <c r="E4" s="52" t="s">
        <v>87</v>
      </c>
      <c r="F4" t="s">
        <v>90</v>
      </c>
      <c r="G4" t="s">
        <v>92</v>
      </c>
      <c r="H4" t="s">
        <v>96</v>
      </c>
      <c r="I4" t="s">
        <v>99</v>
      </c>
      <c r="J4" t="s">
        <v>103</v>
      </c>
      <c r="K4" t="s">
        <v>107</v>
      </c>
      <c r="L4" t="s">
        <v>112</v>
      </c>
      <c r="M4" t="s">
        <v>66</v>
      </c>
      <c r="N4" t="s">
        <v>116</v>
      </c>
      <c r="O4" t="s">
        <v>119</v>
      </c>
      <c r="P4" t="s">
        <v>125</v>
      </c>
      <c r="Q4" t="s">
        <v>70</v>
      </c>
      <c r="R4" t="s">
        <v>129</v>
      </c>
      <c r="S4" t="s">
        <v>72</v>
      </c>
      <c r="T4" t="s">
        <v>73</v>
      </c>
      <c r="U4" t="s">
        <v>74</v>
      </c>
    </row>
    <row r="5" spans="1:21" x14ac:dyDescent="0.25">
      <c r="A5" s="52"/>
      <c r="B5" s="52" t="s">
        <v>77</v>
      </c>
      <c r="C5" s="52" t="s">
        <v>82</v>
      </c>
      <c r="D5" s="52" t="s">
        <v>85</v>
      </c>
      <c r="E5" s="52" t="s">
        <v>88</v>
      </c>
      <c r="G5" t="s">
        <v>93</v>
      </c>
      <c r="H5" t="s">
        <v>97</v>
      </c>
      <c r="I5" t="s">
        <v>100</v>
      </c>
      <c r="J5" t="s">
        <v>104</v>
      </c>
      <c r="K5" t="s">
        <v>108</v>
      </c>
      <c r="L5" t="s">
        <v>113</v>
      </c>
      <c r="M5" s="52"/>
      <c r="N5" t="s">
        <v>118</v>
      </c>
      <c r="O5" t="s">
        <v>120</v>
      </c>
      <c r="P5" t="s">
        <v>126</v>
      </c>
      <c r="Q5" s="52"/>
      <c r="R5" s="52"/>
      <c r="S5" s="52"/>
      <c r="T5" s="52"/>
      <c r="U5" s="52"/>
    </row>
    <row r="6" spans="1:21" x14ac:dyDescent="0.25">
      <c r="A6" s="52"/>
      <c r="B6" s="52" t="s">
        <v>78</v>
      </c>
      <c r="C6" s="52"/>
      <c r="D6" s="52"/>
      <c r="E6" s="52"/>
      <c r="F6" s="52"/>
      <c r="G6" t="s">
        <v>94</v>
      </c>
      <c r="H6" s="52"/>
      <c r="I6" t="s">
        <v>101</v>
      </c>
      <c r="J6" t="s">
        <v>105</v>
      </c>
      <c r="K6" t="s">
        <v>109</v>
      </c>
      <c r="L6" s="52"/>
      <c r="M6" s="52"/>
      <c r="N6" s="52"/>
      <c r="O6" t="s">
        <v>121</v>
      </c>
      <c r="P6" s="52"/>
      <c r="Q6" s="52"/>
      <c r="R6" s="52"/>
      <c r="S6" s="52"/>
      <c r="T6" s="52"/>
      <c r="U6" s="52"/>
    </row>
    <row r="7" spans="1:21" x14ac:dyDescent="0.25">
      <c r="K7" t="s">
        <v>110</v>
      </c>
      <c r="O7" t="s">
        <v>122</v>
      </c>
    </row>
    <row r="8" spans="1:21" x14ac:dyDescent="0.25">
      <c r="O8" t="s">
        <v>123</v>
      </c>
    </row>
    <row r="10" spans="1:21" x14ac:dyDescent="0.25">
      <c r="B10" t="s">
        <v>167</v>
      </c>
      <c r="C10" t="s">
        <v>136</v>
      </c>
      <c r="D10" t="s">
        <v>44</v>
      </c>
      <c r="E10" t="s">
        <v>45</v>
      </c>
      <c r="F10" t="s">
        <v>46</v>
      </c>
      <c r="G10" t="s">
        <v>133</v>
      </c>
      <c r="H10" t="s">
        <v>134</v>
      </c>
    </row>
    <row r="11" spans="1:21" x14ac:dyDescent="0.25">
      <c r="A11" t="s">
        <v>79</v>
      </c>
      <c r="B11" s="52" t="s">
        <v>76</v>
      </c>
      <c r="C11" t="s">
        <v>169</v>
      </c>
      <c r="D11" t="s">
        <v>172</v>
      </c>
      <c r="E11" t="s">
        <v>175</v>
      </c>
      <c r="F11" t="s">
        <v>178</v>
      </c>
      <c r="G11" t="s">
        <v>181</v>
      </c>
      <c r="H11" t="s">
        <v>186</v>
      </c>
    </row>
    <row r="12" spans="1:21" x14ac:dyDescent="0.25">
      <c r="B12" s="52" t="s">
        <v>77</v>
      </c>
      <c r="C12" t="s">
        <v>170</v>
      </c>
      <c r="D12" t="s">
        <v>173</v>
      </c>
      <c r="E12" t="s">
        <v>176</v>
      </c>
      <c r="F12" t="s">
        <v>179</v>
      </c>
      <c r="G12" t="s">
        <v>182</v>
      </c>
      <c r="H12" t="s">
        <v>185</v>
      </c>
    </row>
    <row r="13" spans="1:21" x14ac:dyDescent="0.25">
      <c r="B13" s="52" t="s">
        <v>78</v>
      </c>
      <c r="C13" t="s">
        <v>171</v>
      </c>
      <c r="D13" t="s">
        <v>174</v>
      </c>
      <c r="E13" t="s">
        <v>177</v>
      </c>
      <c r="F13" t="s">
        <v>180</v>
      </c>
      <c r="G13" t="s">
        <v>183</v>
      </c>
      <c r="H13" t="s">
        <v>184</v>
      </c>
    </row>
    <row r="14" spans="1:21" x14ac:dyDescent="0.25">
      <c r="A14" t="s">
        <v>80</v>
      </c>
      <c r="B14" t="s">
        <v>81</v>
      </c>
      <c r="C14" t="s">
        <v>189</v>
      </c>
      <c r="D14" t="s">
        <v>191</v>
      </c>
      <c r="E14" t="s">
        <v>193</v>
      </c>
      <c r="F14" t="s">
        <v>195</v>
      </c>
      <c r="G14" t="s">
        <v>197</v>
      </c>
      <c r="H14" t="s">
        <v>199</v>
      </c>
    </row>
    <row r="15" spans="1:21" x14ac:dyDescent="0.25">
      <c r="B15" t="s">
        <v>82</v>
      </c>
      <c r="C15" t="s">
        <v>190</v>
      </c>
      <c r="D15" t="s">
        <v>192</v>
      </c>
      <c r="E15" t="s">
        <v>194</v>
      </c>
      <c r="F15" t="s">
        <v>196</v>
      </c>
      <c r="G15" t="s">
        <v>198</v>
      </c>
      <c r="H15" t="s">
        <v>200</v>
      </c>
    </row>
    <row r="16" spans="1:21" x14ac:dyDescent="0.25">
      <c r="A16" t="s">
        <v>83</v>
      </c>
      <c r="B16" t="s">
        <v>84</v>
      </c>
      <c r="C16" t="s">
        <v>201</v>
      </c>
      <c r="D16" t="s">
        <v>206</v>
      </c>
      <c r="E16" t="s">
        <v>211</v>
      </c>
      <c r="F16" t="s">
        <v>216</v>
      </c>
      <c r="G16" t="s">
        <v>221</v>
      </c>
      <c r="H16" t="s">
        <v>226</v>
      </c>
    </row>
    <row r="17" spans="1:8" x14ac:dyDescent="0.25">
      <c r="B17" t="s">
        <v>85</v>
      </c>
      <c r="C17" t="s">
        <v>202</v>
      </c>
      <c r="D17" t="s">
        <v>207</v>
      </c>
      <c r="E17" t="s">
        <v>212</v>
      </c>
      <c r="F17" t="s">
        <v>217</v>
      </c>
      <c r="G17" t="s">
        <v>222</v>
      </c>
      <c r="H17" t="s">
        <v>227</v>
      </c>
    </row>
    <row r="18" spans="1:8" x14ac:dyDescent="0.25">
      <c r="A18" t="s">
        <v>86</v>
      </c>
      <c r="B18" t="s">
        <v>87</v>
      </c>
      <c r="C18" t="s">
        <v>203</v>
      </c>
      <c r="D18" t="s">
        <v>208</v>
      </c>
      <c r="E18" t="s">
        <v>213</v>
      </c>
      <c r="F18" t="s">
        <v>218</v>
      </c>
      <c r="G18" t="s">
        <v>223</v>
      </c>
      <c r="H18" t="s">
        <v>228</v>
      </c>
    </row>
    <row r="19" spans="1:8" x14ac:dyDescent="0.25">
      <c r="B19" t="s">
        <v>88</v>
      </c>
      <c r="C19" t="s">
        <v>204</v>
      </c>
      <c r="D19" t="s">
        <v>209</v>
      </c>
      <c r="E19" t="s">
        <v>214</v>
      </c>
      <c r="F19" t="s">
        <v>219</v>
      </c>
      <c r="G19" t="s">
        <v>224</v>
      </c>
      <c r="H19" t="s">
        <v>229</v>
      </c>
    </row>
    <row r="20" spans="1:8" x14ac:dyDescent="0.25">
      <c r="A20" t="s">
        <v>89</v>
      </c>
      <c r="B20" t="s">
        <v>90</v>
      </c>
      <c r="C20" t="s">
        <v>205</v>
      </c>
      <c r="D20" t="s">
        <v>210</v>
      </c>
      <c r="E20" t="s">
        <v>215</v>
      </c>
      <c r="F20" t="s">
        <v>220</v>
      </c>
      <c r="G20" t="s">
        <v>225</v>
      </c>
      <c r="H20" t="s">
        <v>230</v>
      </c>
    </row>
    <row r="21" spans="1:8" x14ac:dyDescent="0.25">
      <c r="A21" t="s">
        <v>91</v>
      </c>
      <c r="B21" t="s">
        <v>92</v>
      </c>
      <c r="C21" t="s">
        <v>231</v>
      </c>
      <c r="D21" t="s">
        <v>242</v>
      </c>
      <c r="E21" t="s">
        <v>253</v>
      </c>
      <c r="F21" t="s">
        <v>264</v>
      </c>
      <c r="G21" t="s">
        <v>275</v>
      </c>
      <c r="H21" t="s">
        <v>285</v>
      </c>
    </row>
    <row r="22" spans="1:8" x14ac:dyDescent="0.25">
      <c r="B22" t="s">
        <v>93</v>
      </c>
      <c r="C22" t="s">
        <v>232</v>
      </c>
      <c r="D22" t="s">
        <v>243</v>
      </c>
      <c r="E22" t="s">
        <v>254</v>
      </c>
      <c r="F22" t="s">
        <v>265</v>
      </c>
      <c r="G22" t="s">
        <v>276</v>
      </c>
      <c r="H22" t="s">
        <v>286</v>
      </c>
    </row>
    <row r="23" spans="1:8" x14ac:dyDescent="0.25">
      <c r="B23" t="s">
        <v>94</v>
      </c>
      <c r="C23" t="s">
        <v>233</v>
      </c>
      <c r="D23" t="s">
        <v>244</v>
      </c>
      <c r="E23" t="s">
        <v>255</v>
      </c>
      <c r="F23" t="s">
        <v>266</v>
      </c>
      <c r="G23" t="s">
        <v>277</v>
      </c>
      <c r="H23" t="s">
        <v>287</v>
      </c>
    </row>
    <row r="24" spans="1:8" x14ac:dyDescent="0.25">
      <c r="A24" t="s">
        <v>95</v>
      </c>
      <c r="B24" t="s">
        <v>96</v>
      </c>
      <c r="C24" t="s">
        <v>234</v>
      </c>
      <c r="D24" t="s">
        <v>245</v>
      </c>
      <c r="E24" t="s">
        <v>256</v>
      </c>
      <c r="F24" t="s">
        <v>267</v>
      </c>
      <c r="G24" t="s">
        <v>278</v>
      </c>
      <c r="H24" t="s">
        <v>288</v>
      </c>
    </row>
    <row r="25" spans="1:8" x14ac:dyDescent="0.25">
      <c r="B25" t="s">
        <v>97</v>
      </c>
      <c r="C25" t="s">
        <v>235</v>
      </c>
      <c r="D25" t="s">
        <v>246</v>
      </c>
      <c r="E25" t="s">
        <v>257</v>
      </c>
      <c r="F25" t="s">
        <v>268</v>
      </c>
      <c r="G25" t="s">
        <v>279</v>
      </c>
      <c r="H25" t="s">
        <v>289</v>
      </c>
    </row>
    <row r="26" spans="1:8" x14ac:dyDescent="0.25">
      <c r="A26" t="s">
        <v>98</v>
      </c>
      <c r="B26" t="s">
        <v>99</v>
      </c>
      <c r="C26" t="s">
        <v>236</v>
      </c>
      <c r="D26" t="s">
        <v>247</v>
      </c>
      <c r="E26" t="s">
        <v>258</v>
      </c>
      <c r="F26" t="s">
        <v>269</v>
      </c>
      <c r="G26" t="s">
        <v>280</v>
      </c>
      <c r="H26" t="s">
        <v>290</v>
      </c>
    </row>
    <row r="27" spans="1:8" x14ac:dyDescent="0.25">
      <c r="B27" t="s">
        <v>100</v>
      </c>
      <c r="C27" t="s">
        <v>237</v>
      </c>
      <c r="D27" t="s">
        <v>248</v>
      </c>
      <c r="E27" t="s">
        <v>259</v>
      </c>
      <c r="F27" t="s">
        <v>270</v>
      </c>
      <c r="G27" t="s">
        <v>281</v>
      </c>
      <c r="H27" t="s">
        <v>291</v>
      </c>
    </row>
    <row r="28" spans="1:8" x14ac:dyDescent="0.25">
      <c r="B28" t="s">
        <v>101</v>
      </c>
      <c r="C28" t="s">
        <v>238</v>
      </c>
      <c r="D28" t="s">
        <v>249</v>
      </c>
      <c r="E28" t="s">
        <v>260</v>
      </c>
      <c r="F28" t="s">
        <v>271</v>
      </c>
      <c r="G28" t="s">
        <v>281</v>
      </c>
      <c r="H28" t="s">
        <v>292</v>
      </c>
    </row>
    <row r="29" spans="1:8" x14ac:dyDescent="0.25">
      <c r="A29" t="s">
        <v>102</v>
      </c>
      <c r="B29" t="s">
        <v>103</v>
      </c>
      <c r="C29" t="s">
        <v>239</v>
      </c>
      <c r="D29" t="s">
        <v>250</v>
      </c>
      <c r="E29" t="s">
        <v>261</v>
      </c>
      <c r="F29" t="s">
        <v>272</v>
      </c>
      <c r="G29" t="s">
        <v>282</v>
      </c>
      <c r="H29" t="s">
        <v>293</v>
      </c>
    </row>
    <row r="30" spans="1:8" x14ac:dyDescent="0.25">
      <c r="B30" t="s">
        <v>104</v>
      </c>
      <c r="C30" t="s">
        <v>240</v>
      </c>
      <c r="D30" t="s">
        <v>251</v>
      </c>
      <c r="E30" t="s">
        <v>262</v>
      </c>
      <c r="F30" t="s">
        <v>273</v>
      </c>
      <c r="G30" t="s">
        <v>283</v>
      </c>
      <c r="H30" t="s">
        <v>294</v>
      </c>
    </row>
    <row r="31" spans="1:8" x14ac:dyDescent="0.25">
      <c r="B31" t="s">
        <v>105</v>
      </c>
      <c r="C31" t="s">
        <v>241</v>
      </c>
      <c r="D31" t="s">
        <v>252</v>
      </c>
      <c r="E31" t="s">
        <v>263</v>
      </c>
      <c r="F31" t="s">
        <v>274</v>
      </c>
      <c r="G31" t="s">
        <v>284</v>
      </c>
      <c r="H31" t="s">
        <v>295</v>
      </c>
    </row>
    <row r="32" spans="1:8" x14ac:dyDescent="0.25">
      <c r="A32" t="s">
        <v>106</v>
      </c>
      <c r="B32" t="s">
        <v>107</v>
      </c>
      <c r="C32" t="s">
        <v>296</v>
      </c>
      <c r="D32" t="s">
        <v>303</v>
      </c>
      <c r="E32" t="s">
        <v>310</v>
      </c>
      <c r="F32" t="s">
        <v>317</v>
      </c>
      <c r="G32" t="s">
        <v>324</v>
      </c>
      <c r="H32" t="s">
        <v>331</v>
      </c>
    </row>
    <row r="33" spans="1:8" x14ac:dyDescent="0.25">
      <c r="B33" t="s">
        <v>108</v>
      </c>
      <c r="C33" t="s">
        <v>297</v>
      </c>
      <c r="D33" t="s">
        <v>304</v>
      </c>
      <c r="E33" t="s">
        <v>311</v>
      </c>
      <c r="F33" t="s">
        <v>318</v>
      </c>
      <c r="G33" t="s">
        <v>325</v>
      </c>
      <c r="H33" t="s">
        <v>332</v>
      </c>
    </row>
    <row r="34" spans="1:8" x14ac:dyDescent="0.25">
      <c r="B34" t="s">
        <v>109</v>
      </c>
      <c r="C34" t="s">
        <v>298</v>
      </c>
      <c r="D34" t="s">
        <v>305</v>
      </c>
      <c r="E34" t="s">
        <v>312</v>
      </c>
      <c r="F34" t="s">
        <v>319</v>
      </c>
      <c r="G34" t="s">
        <v>326</v>
      </c>
      <c r="H34" t="s">
        <v>333</v>
      </c>
    </row>
    <row r="35" spans="1:8" x14ac:dyDescent="0.25">
      <c r="B35" t="s">
        <v>110</v>
      </c>
      <c r="C35" t="s">
        <v>299</v>
      </c>
      <c r="D35" t="s">
        <v>306</v>
      </c>
      <c r="E35" t="s">
        <v>313</v>
      </c>
      <c r="F35" t="s">
        <v>320</v>
      </c>
      <c r="G35" t="s">
        <v>327</v>
      </c>
      <c r="H35" t="s">
        <v>334</v>
      </c>
    </row>
    <row r="36" spans="1:8" x14ac:dyDescent="0.25">
      <c r="A36" t="s">
        <v>111</v>
      </c>
      <c r="B36" t="s">
        <v>112</v>
      </c>
      <c r="C36" t="s">
        <v>300</v>
      </c>
      <c r="D36" t="s">
        <v>307</v>
      </c>
      <c r="E36" t="s">
        <v>314</v>
      </c>
      <c r="F36" t="s">
        <v>321</v>
      </c>
      <c r="G36" t="s">
        <v>328</v>
      </c>
      <c r="H36" t="s">
        <v>335</v>
      </c>
    </row>
    <row r="37" spans="1:8" x14ac:dyDescent="0.25">
      <c r="B37" t="s">
        <v>113</v>
      </c>
      <c r="C37" t="s">
        <v>301</v>
      </c>
      <c r="D37" t="s">
        <v>308</v>
      </c>
      <c r="E37" s="55" t="s">
        <v>315</v>
      </c>
      <c r="F37" t="s">
        <v>322</v>
      </c>
      <c r="G37" t="s">
        <v>329</v>
      </c>
      <c r="H37" t="s">
        <v>336</v>
      </c>
    </row>
    <row r="38" spans="1:8" x14ac:dyDescent="0.25">
      <c r="A38" t="s">
        <v>114</v>
      </c>
      <c r="B38" t="s">
        <v>66</v>
      </c>
      <c r="C38" t="s">
        <v>302</v>
      </c>
      <c r="D38" t="s">
        <v>309</v>
      </c>
      <c r="E38" t="s">
        <v>316</v>
      </c>
      <c r="F38" t="s">
        <v>323</v>
      </c>
      <c r="G38" t="s">
        <v>330</v>
      </c>
      <c r="H38" t="s">
        <v>337</v>
      </c>
    </row>
    <row r="39" spans="1:8" x14ac:dyDescent="0.25">
      <c r="A39" s="52" t="s">
        <v>115</v>
      </c>
      <c r="B39" s="52" t="s">
        <v>116</v>
      </c>
      <c r="C39" s="52" t="s">
        <v>338</v>
      </c>
      <c r="D39" s="52" t="s">
        <v>345</v>
      </c>
      <c r="E39" s="52" t="s">
        <v>352</v>
      </c>
      <c r="F39" s="52" t="s">
        <v>359</v>
      </c>
      <c r="G39" s="52" t="s">
        <v>366</v>
      </c>
      <c r="H39" s="52" t="s">
        <v>373</v>
      </c>
    </row>
    <row r="40" spans="1:8" x14ac:dyDescent="0.25">
      <c r="A40" s="52"/>
      <c r="B40" s="52" t="s">
        <v>118</v>
      </c>
      <c r="C40" t="s">
        <v>339</v>
      </c>
      <c r="D40" t="s">
        <v>346</v>
      </c>
      <c r="E40" t="s">
        <v>353</v>
      </c>
      <c r="F40" t="s">
        <v>360</v>
      </c>
      <c r="G40" t="s">
        <v>367</v>
      </c>
      <c r="H40" t="s">
        <v>374</v>
      </c>
    </row>
    <row r="41" spans="1:8" x14ac:dyDescent="0.25">
      <c r="A41" s="52" t="s">
        <v>117</v>
      </c>
      <c r="B41" s="52" t="s">
        <v>119</v>
      </c>
      <c r="C41" t="s">
        <v>340</v>
      </c>
      <c r="D41" t="s">
        <v>347</v>
      </c>
      <c r="E41" t="s">
        <v>354</v>
      </c>
      <c r="F41" t="s">
        <v>361</v>
      </c>
      <c r="G41" t="s">
        <v>368</v>
      </c>
      <c r="H41" t="s">
        <v>375</v>
      </c>
    </row>
    <row r="42" spans="1:8" x14ac:dyDescent="0.25">
      <c r="A42" s="52"/>
      <c r="B42" s="52" t="s">
        <v>120</v>
      </c>
      <c r="C42" t="s">
        <v>341</v>
      </c>
      <c r="D42" t="s">
        <v>348</v>
      </c>
      <c r="E42" t="s">
        <v>355</v>
      </c>
      <c r="F42" t="s">
        <v>362</v>
      </c>
      <c r="G42" t="s">
        <v>369</v>
      </c>
      <c r="H42" t="s">
        <v>376</v>
      </c>
    </row>
    <row r="43" spans="1:8" x14ac:dyDescent="0.25">
      <c r="A43" s="52"/>
      <c r="B43" s="52" t="s">
        <v>121</v>
      </c>
      <c r="C43" t="s">
        <v>342</v>
      </c>
      <c r="D43" t="s">
        <v>349</v>
      </c>
      <c r="E43" t="s">
        <v>356</v>
      </c>
      <c r="F43" t="s">
        <v>363</v>
      </c>
      <c r="G43" t="s">
        <v>370</v>
      </c>
      <c r="H43" t="s">
        <v>377</v>
      </c>
    </row>
    <row r="44" spans="1:8" x14ac:dyDescent="0.25">
      <c r="A44" s="52"/>
      <c r="B44" s="52" t="s">
        <v>122</v>
      </c>
      <c r="C44" t="s">
        <v>343</v>
      </c>
      <c r="D44" t="s">
        <v>350</v>
      </c>
      <c r="E44" t="s">
        <v>357</v>
      </c>
      <c r="F44" t="s">
        <v>364</v>
      </c>
      <c r="G44" t="s">
        <v>371</v>
      </c>
      <c r="H44" t="s">
        <v>378</v>
      </c>
    </row>
    <row r="45" spans="1:8" x14ac:dyDescent="0.25">
      <c r="A45" s="52"/>
      <c r="B45" s="52" t="s">
        <v>123</v>
      </c>
      <c r="C45" t="s">
        <v>344</v>
      </c>
      <c r="D45" t="s">
        <v>351</v>
      </c>
      <c r="E45" t="s">
        <v>358</v>
      </c>
      <c r="F45" t="s">
        <v>365</v>
      </c>
      <c r="G45" t="s">
        <v>372</v>
      </c>
      <c r="H45" t="s">
        <v>379</v>
      </c>
    </row>
    <row r="46" spans="1:8" x14ac:dyDescent="0.25">
      <c r="A46" t="s">
        <v>124</v>
      </c>
      <c r="B46" t="s">
        <v>125</v>
      </c>
      <c r="C46" t="s">
        <v>380</v>
      </c>
      <c r="D46" t="s">
        <v>384</v>
      </c>
      <c r="E46" t="s">
        <v>388</v>
      </c>
      <c r="F46" t="s">
        <v>392</v>
      </c>
      <c r="G46" t="s">
        <v>396</v>
      </c>
      <c r="H46" t="s">
        <v>400</v>
      </c>
    </row>
    <row r="47" spans="1:8" x14ac:dyDescent="0.25">
      <c r="B47" t="s">
        <v>126</v>
      </c>
      <c r="C47" t="s">
        <v>381</v>
      </c>
      <c r="D47" t="s">
        <v>385</v>
      </c>
      <c r="E47" t="s">
        <v>389</v>
      </c>
      <c r="F47" t="s">
        <v>393</v>
      </c>
      <c r="G47" t="s">
        <v>397</v>
      </c>
      <c r="H47" t="s">
        <v>401</v>
      </c>
    </row>
    <row r="48" spans="1:8" x14ac:dyDescent="0.25">
      <c r="A48" t="s">
        <v>127</v>
      </c>
      <c r="B48" t="s">
        <v>70</v>
      </c>
      <c r="C48" t="s">
        <v>382</v>
      </c>
      <c r="D48" t="s">
        <v>386</v>
      </c>
      <c r="E48" t="s">
        <v>390</v>
      </c>
      <c r="F48" t="s">
        <v>394</v>
      </c>
      <c r="G48" t="s">
        <v>398</v>
      </c>
      <c r="H48" t="s">
        <v>402</v>
      </c>
    </row>
    <row r="49" spans="1:8" x14ac:dyDescent="0.25">
      <c r="A49" t="s">
        <v>128</v>
      </c>
      <c r="B49" t="s">
        <v>129</v>
      </c>
      <c r="C49" t="s">
        <v>383</v>
      </c>
      <c r="D49" t="s">
        <v>387</v>
      </c>
      <c r="E49" t="s">
        <v>391</v>
      </c>
      <c r="F49" s="52" t="s">
        <v>395</v>
      </c>
      <c r="G49" t="s">
        <v>399</v>
      </c>
      <c r="H49" t="s">
        <v>403</v>
      </c>
    </row>
    <row r="50" spans="1:8" x14ac:dyDescent="0.25">
      <c r="A50" s="52" t="s">
        <v>130</v>
      </c>
      <c r="B50" s="52" t="s">
        <v>72</v>
      </c>
      <c r="C50" t="s">
        <v>404</v>
      </c>
      <c r="D50" t="s">
        <v>407</v>
      </c>
      <c r="E50" t="s">
        <v>410</v>
      </c>
      <c r="F50" t="s">
        <v>413</v>
      </c>
      <c r="G50" t="s">
        <v>416</v>
      </c>
      <c r="H50" t="s">
        <v>419</v>
      </c>
    </row>
    <row r="51" spans="1:8" x14ac:dyDescent="0.25">
      <c r="A51" s="52" t="s">
        <v>131</v>
      </c>
      <c r="B51" s="52" t="s">
        <v>73</v>
      </c>
      <c r="C51" t="s">
        <v>405</v>
      </c>
      <c r="D51" t="s">
        <v>408</v>
      </c>
      <c r="E51" t="s">
        <v>411</v>
      </c>
      <c r="F51" t="s">
        <v>414</v>
      </c>
      <c r="G51" t="s">
        <v>417</v>
      </c>
      <c r="H51" t="s">
        <v>420</v>
      </c>
    </row>
    <row r="52" spans="1:8" x14ac:dyDescent="0.25">
      <c r="A52" s="52" t="s">
        <v>132</v>
      </c>
      <c r="B52" s="52" t="s">
        <v>74</v>
      </c>
      <c r="C52" t="s">
        <v>406</v>
      </c>
      <c r="D52" t="s">
        <v>409</v>
      </c>
      <c r="E52" t="s">
        <v>412</v>
      </c>
      <c r="F52" t="s">
        <v>415</v>
      </c>
      <c r="G52" t="s">
        <v>418</v>
      </c>
      <c r="H52" t="s">
        <v>421</v>
      </c>
    </row>
  </sheetData>
  <pageMargins left="0.7" right="0.7" top="0.75" bottom="0.75" header="0.3" footer="0.3"/>
  <pageSetup paperSize="9"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3:I81"/>
  <sheetViews>
    <sheetView topLeftCell="A65" workbookViewId="0">
      <selection activeCell="A79" sqref="A79:B81"/>
    </sheetView>
  </sheetViews>
  <sheetFormatPr defaultRowHeight="15" x14ac:dyDescent="0.25"/>
  <cols>
    <col min="1" max="1" width="9.140625" style="48"/>
    <col min="2" max="2" width="66.85546875" style="48" customWidth="1"/>
    <col min="3" max="3" width="34.85546875" style="48" customWidth="1"/>
    <col min="4" max="9" width="24.28515625" style="48" customWidth="1"/>
    <col min="10" max="16384" width="9.140625" style="48"/>
  </cols>
  <sheetData>
    <row r="3" spans="1:4" x14ac:dyDescent="0.25">
      <c r="B3" s="51" t="s">
        <v>47</v>
      </c>
      <c r="C3" s="51" t="s">
        <v>149</v>
      </c>
      <c r="D3" s="51" t="s">
        <v>150</v>
      </c>
    </row>
    <row r="4" spans="1:4" x14ac:dyDescent="0.25">
      <c r="B4" s="48" t="s">
        <v>48</v>
      </c>
      <c r="C4" s="48" t="s">
        <v>136</v>
      </c>
      <c r="D4" s="48" t="s">
        <v>151</v>
      </c>
    </row>
    <row r="5" spans="1:4" x14ac:dyDescent="0.25">
      <c r="B5" s="48" t="s">
        <v>49</v>
      </c>
      <c r="C5" s="48" t="s">
        <v>44</v>
      </c>
      <c r="D5" s="48" t="s">
        <v>152</v>
      </c>
    </row>
    <row r="6" spans="1:4" x14ac:dyDescent="0.25">
      <c r="B6" s="48" t="s">
        <v>50</v>
      </c>
      <c r="C6" s="48" t="s">
        <v>45</v>
      </c>
      <c r="D6" s="48" t="s">
        <v>43</v>
      </c>
    </row>
    <row r="7" spans="1:4" x14ac:dyDescent="0.25">
      <c r="B7" s="48" t="s">
        <v>51</v>
      </c>
      <c r="C7" s="48" t="s">
        <v>46</v>
      </c>
      <c r="D7" s="48" t="s">
        <v>153</v>
      </c>
    </row>
    <row r="8" spans="1:4" x14ac:dyDescent="0.25">
      <c r="B8" s="48" t="s">
        <v>52</v>
      </c>
      <c r="C8" s="48" t="s">
        <v>133</v>
      </c>
      <c r="D8" s="48" t="s">
        <v>154</v>
      </c>
    </row>
    <row r="9" spans="1:4" x14ac:dyDescent="0.25">
      <c r="B9" s="48" t="s">
        <v>53</v>
      </c>
      <c r="C9" s="48" t="s">
        <v>134</v>
      </c>
      <c r="D9" s="48" t="s">
        <v>155</v>
      </c>
    </row>
    <row r="10" spans="1:4" x14ac:dyDescent="0.25">
      <c r="D10" s="48" t="s">
        <v>156</v>
      </c>
    </row>
    <row r="11" spans="1:4" x14ac:dyDescent="0.25">
      <c r="D11" s="48" t="s">
        <v>157</v>
      </c>
    </row>
    <row r="12" spans="1:4" x14ac:dyDescent="0.25">
      <c r="B12" s="51" t="s">
        <v>54</v>
      </c>
      <c r="C12" s="51"/>
      <c r="D12" s="48" t="s">
        <v>158</v>
      </c>
    </row>
    <row r="13" spans="1:4" x14ac:dyDescent="0.25">
      <c r="A13" s="48">
        <v>1</v>
      </c>
      <c r="B13" s="48" t="s">
        <v>55</v>
      </c>
      <c r="D13" s="48" t="s">
        <v>159</v>
      </c>
    </row>
    <row r="14" spans="1:4" x14ac:dyDescent="0.25">
      <c r="B14" s="48" t="s">
        <v>56</v>
      </c>
      <c r="D14" s="48" t="s">
        <v>160</v>
      </c>
    </row>
    <row r="15" spans="1:4" x14ac:dyDescent="0.25">
      <c r="B15" s="48" t="s">
        <v>57</v>
      </c>
      <c r="D15" s="48" t="s">
        <v>161</v>
      </c>
    </row>
    <row r="16" spans="1:4" x14ac:dyDescent="0.25">
      <c r="B16" s="48" t="s">
        <v>58</v>
      </c>
      <c r="D16" s="48" t="s">
        <v>162</v>
      </c>
    </row>
    <row r="17" spans="1:4" x14ac:dyDescent="0.25">
      <c r="B17" s="48" t="s">
        <v>59</v>
      </c>
      <c r="D17" s="48" t="s">
        <v>163</v>
      </c>
    </row>
    <row r="18" spans="1:4" x14ac:dyDescent="0.25">
      <c r="A18" s="48">
        <v>2</v>
      </c>
      <c r="B18" s="48" t="s">
        <v>60</v>
      </c>
    </row>
    <row r="19" spans="1:4" x14ac:dyDescent="0.25">
      <c r="B19" s="48" t="s">
        <v>61</v>
      </c>
    </row>
    <row r="20" spans="1:4" x14ac:dyDescent="0.25">
      <c r="B20" s="48" t="s">
        <v>62</v>
      </c>
    </row>
    <row r="21" spans="1:4" x14ac:dyDescent="0.25">
      <c r="B21" s="48" t="s">
        <v>63</v>
      </c>
    </row>
    <row r="22" spans="1:4" x14ac:dyDescent="0.25">
      <c r="A22" s="48">
        <v>3</v>
      </c>
      <c r="B22" s="48" t="s">
        <v>64</v>
      </c>
    </row>
    <row r="23" spans="1:4" x14ac:dyDescent="0.25">
      <c r="B23" s="48" t="s">
        <v>65</v>
      </c>
    </row>
    <row r="24" spans="1:4" x14ac:dyDescent="0.25">
      <c r="B24" s="48" t="s">
        <v>66</v>
      </c>
    </row>
    <row r="25" spans="1:4" x14ac:dyDescent="0.25">
      <c r="A25" s="48">
        <v>4</v>
      </c>
      <c r="B25" s="48" t="s">
        <v>67</v>
      </c>
    </row>
    <row r="26" spans="1:4" x14ac:dyDescent="0.25">
      <c r="B26" s="48" t="s">
        <v>68</v>
      </c>
    </row>
    <row r="27" spans="1:4" x14ac:dyDescent="0.25">
      <c r="A27" s="48">
        <v>5</v>
      </c>
      <c r="B27" s="48" t="s">
        <v>69</v>
      </c>
    </row>
    <row r="28" spans="1:4" x14ac:dyDescent="0.25">
      <c r="B28" s="48" t="s">
        <v>70</v>
      </c>
    </row>
    <row r="29" spans="1:4" x14ac:dyDescent="0.25">
      <c r="B29" s="48" t="s">
        <v>71</v>
      </c>
    </row>
    <row r="30" spans="1:4" x14ac:dyDescent="0.25">
      <c r="A30" s="48">
        <v>6</v>
      </c>
      <c r="B30" s="48" t="s">
        <v>72</v>
      </c>
    </row>
    <row r="31" spans="1:4" x14ac:dyDescent="0.25">
      <c r="B31" s="48" t="s">
        <v>73</v>
      </c>
    </row>
    <row r="32" spans="1:4" ht="30" x14ac:dyDescent="0.25">
      <c r="B32" s="48" t="s">
        <v>74</v>
      </c>
    </row>
    <row r="34" spans="1:9" x14ac:dyDescent="0.25">
      <c r="B34" s="51" t="s">
        <v>75</v>
      </c>
      <c r="C34" s="50" t="s">
        <v>136</v>
      </c>
      <c r="D34" s="50" t="s">
        <v>44</v>
      </c>
      <c r="E34" s="50" t="s">
        <v>45</v>
      </c>
      <c r="F34" s="50" t="s">
        <v>46</v>
      </c>
      <c r="G34" s="50" t="s">
        <v>133</v>
      </c>
      <c r="H34" s="50" t="s">
        <v>134</v>
      </c>
      <c r="I34" s="50" t="s">
        <v>135</v>
      </c>
    </row>
    <row r="35" spans="1:9" ht="180" x14ac:dyDescent="0.25">
      <c r="A35" s="48" t="s">
        <v>79</v>
      </c>
      <c r="B35" s="48" t="s">
        <v>76</v>
      </c>
      <c r="C35" s="48" t="s">
        <v>137</v>
      </c>
      <c r="D35" s="48" t="s">
        <v>138</v>
      </c>
      <c r="E35" s="48" t="s">
        <v>139</v>
      </c>
      <c r="F35" s="48" t="s">
        <v>140</v>
      </c>
      <c r="G35" s="48" t="s">
        <v>141</v>
      </c>
      <c r="H35" s="48" t="s">
        <v>142</v>
      </c>
    </row>
    <row r="36" spans="1:9" ht="165" x14ac:dyDescent="0.25">
      <c r="B36" s="48" t="s">
        <v>77</v>
      </c>
      <c r="C36" s="48" t="s">
        <v>143</v>
      </c>
      <c r="D36" s="48" t="s">
        <v>144</v>
      </c>
      <c r="E36" s="48" t="s">
        <v>145</v>
      </c>
      <c r="F36" s="48" t="s">
        <v>146</v>
      </c>
      <c r="G36" s="48" t="s">
        <v>147</v>
      </c>
      <c r="H36" s="48" t="s">
        <v>148</v>
      </c>
    </row>
    <row r="37" spans="1:9" x14ac:dyDescent="0.25">
      <c r="B37" s="48" t="s">
        <v>78</v>
      </c>
    </row>
    <row r="38" spans="1:9" x14ac:dyDescent="0.25">
      <c r="A38" s="48" t="s">
        <v>80</v>
      </c>
      <c r="B38" s="48" t="s">
        <v>81</v>
      </c>
    </row>
    <row r="39" spans="1:9" x14ac:dyDescent="0.25">
      <c r="B39" s="48" t="s">
        <v>82</v>
      </c>
    </row>
    <row r="40" spans="1:9" ht="30" x14ac:dyDescent="0.25">
      <c r="A40" s="48" t="s">
        <v>83</v>
      </c>
      <c r="B40" s="48" t="s">
        <v>84</v>
      </c>
    </row>
    <row r="41" spans="1:9" x14ac:dyDescent="0.25">
      <c r="B41" s="48" t="s">
        <v>85</v>
      </c>
    </row>
    <row r="42" spans="1:9" x14ac:dyDescent="0.25">
      <c r="A42" s="48" t="s">
        <v>86</v>
      </c>
      <c r="B42" s="48" t="s">
        <v>87</v>
      </c>
    </row>
    <row r="43" spans="1:9" x14ac:dyDescent="0.25">
      <c r="B43" s="48" t="s">
        <v>88</v>
      </c>
    </row>
    <row r="44" spans="1:9" x14ac:dyDescent="0.25">
      <c r="A44" s="48" t="s">
        <v>89</v>
      </c>
      <c r="B44" s="48" t="s">
        <v>90</v>
      </c>
    </row>
    <row r="46" spans="1:9" x14ac:dyDescent="0.25">
      <c r="A46" s="48" t="s">
        <v>91</v>
      </c>
      <c r="B46" s="48" t="s">
        <v>92</v>
      </c>
    </row>
    <row r="47" spans="1:9" ht="30" x14ac:dyDescent="0.25">
      <c r="B47" s="48" t="s">
        <v>93</v>
      </c>
    </row>
    <row r="48" spans="1:9" x14ac:dyDescent="0.25">
      <c r="B48" s="48" t="s">
        <v>94</v>
      </c>
    </row>
    <row r="49" spans="1:2" x14ac:dyDescent="0.25">
      <c r="A49" s="48" t="s">
        <v>95</v>
      </c>
      <c r="B49" s="48" t="s">
        <v>96</v>
      </c>
    </row>
    <row r="50" spans="1:2" x14ac:dyDescent="0.25">
      <c r="B50" s="48" t="s">
        <v>97</v>
      </c>
    </row>
    <row r="51" spans="1:2" x14ac:dyDescent="0.25">
      <c r="A51" s="48" t="s">
        <v>98</v>
      </c>
      <c r="B51" s="48" t="s">
        <v>99</v>
      </c>
    </row>
    <row r="52" spans="1:2" x14ac:dyDescent="0.25">
      <c r="B52" s="48" t="s">
        <v>100</v>
      </c>
    </row>
    <row r="53" spans="1:2" x14ac:dyDescent="0.25">
      <c r="B53" s="48" t="s">
        <v>101</v>
      </c>
    </row>
    <row r="54" spans="1:2" x14ac:dyDescent="0.25">
      <c r="A54" s="48" t="s">
        <v>102</v>
      </c>
      <c r="B54" s="48" t="s">
        <v>103</v>
      </c>
    </row>
    <row r="55" spans="1:2" x14ac:dyDescent="0.25">
      <c r="B55" s="48" t="s">
        <v>104</v>
      </c>
    </row>
    <row r="56" spans="1:2" x14ac:dyDescent="0.25">
      <c r="B56" s="48" t="s">
        <v>105</v>
      </c>
    </row>
    <row r="58" spans="1:2" x14ac:dyDescent="0.25">
      <c r="A58" s="48" t="s">
        <v>106</v>
      </c>
      <c r="B58" s="48" t="s">
        <v>107</v>
      </c>
    </row>
    <row r="59" spans="1:2" x14ac:dyDescent="0.25">
      <c r="B59" s="48" t="s">
        <v>108</v>
      </c>
    </row>
    <row r="60" spans="1:2" x14ac:dyDescent="0.25">
      <c r="B60" s="48" t="s">
        <v>109</v>
      </c>
    </row>
    <row r="61" spans="1:2" x14ac:dyDescent="0.25">
      <c r="B61" s="48" t="s">
        <v>110</v>
      </c>
    </row>
    <row r="62" spans="1:2" x14ac:dyDescent="0.25">
      <c r="A62" s="48" t="s">
        <v>111</v>
      </c>
      <c r="B62" s="48" t="s">
        <v>112</v>
      </c>
    </row>
    <row r="63" spans="1:2" x14ac:dyDescent="0.25">
      <c r="B63" s="48" t="s">
        <v>113</v>
      </c>
    </row>
    <row r="64" spans="1:2" x14ac:dyDescent="0.25">
      <c r="A64" s="48" t="s">
        <v>114</v>
      </c>
      <c r="B64" s="48" t="s">
        <v>66</v>
      </c>
    </row>
    <row r="66" spans="1:2" x14ac:dyDescent="0.25">
      <c r="A66" s="48" t="s">
        <v>115</v>
      </c>
      <c r="B66" s="48" t="s">
        <v>116</v>
      </c>
    </row>
    <row r="67" spans="1:2" x14ac:dyDescent="0.25">
      <c r="B67" s="48" t="s">
        <v>118</v>
      </c>
    </row>
    <row r="68" spans="1:2" x14ac:dyDescent="0.25">
      <c r="A68" s="48" t="s">
        <v>117</v>
      </c>
      <c r="B68" s="48" t="s">
        <v>119</v>
      </c>
    </row>
    <row r="69" spans="1:2" ht="30" x14ac:dyDescent="0.25">
      <c r="B69" s="48" t="s">
        <v>120</v>
      </c>
    </row>
    <row r="70" spans="1:2" x14ac:dyDescent="0.25">
      <c r="B70" s="48" t="s">
        <v>121</v>
      </c>
    </row>
    <row r="71" spans="1:2" x14ac:dyDescent="0.25">
      <c r="B71" s="48" t="s">
        <v>122</v>
      </c>
    </row>
    <row r="72" spans="1:2" x14ac:dyDescent="0.25">
      <c r="B72" s="48" t="s">
        <v>123</v>
      </c>
    </row>
    <row r="74" spans="1:2" x14ac:dyDescent="0.25">
      <c r="A74" s="48" t="s">
        <v>124</v>
      </c>
      <c r="B74" s="48" t="s">
        <v>125</v>
      </c>
    </row>
    <row r="75" spans="1:2" x14ac:dyDescent="0.25">
      <c r="B75" s="48" t="s">
        <v>126</v>
      </c>
    </row>
    <row r="76" spans="1:2" x14ac:dyDescent="0.25">
      <c r="A76" s="48" t="s">
        <v>127</v>
      </c>
      <c r="B76" s="48" t="s">
        <v>70</v>
      </c>
    </row>
    <row r="77" spans="1:2" x14ac:dyDescent="0.25">
      <c r="A77" s="48" t="s">
        <v>128</v>
      </c>
      <c r="B77" s="48" t="s">
        <v>129</v>
      </c>
    </row>
    <row r="79" spans="1:2" x14ac:dyDescent="0.25">
      <c r="A79" s="48" t="s">
        <v>130</v>
      </c>
      <c r="B79" s="48" t="s">
        <v>72</v>
      </c>
    </row>
    <row r="80" spans="1:2" x14ac:dyDescent="0.25">
      <c r="A80" s="48" t="s">
        <v>131</v>
      </c>
      <c r="B80" s="48" t="s">
        <v>73</v>
      </c>
    </row>
    <row r="81" spans="1:2" ht="30" x14ac:dyDescent="0.25">
      <c r="A81" s="48" t="s">
        <v>132</v>
      </c>
      <c r="B81" s="48" t="s">
        <v>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34</vt:i4>
      </vt:variant>
      <vt:variant>
        <vt:lpstr>Excel 4.0 Macros</vt:lpstr>
      </vt:variant>
      <vt:variant>
        <vt:i4>3</vt:i4>
      </vt:variant>
      <vt:variant>
        <vt:lpstr>Named Ranges</vt:lpstr>
      </vt:variant>
      <vt:variant>
        <vt:i4>7</vt:i4>
      </vt:variant>
    </vt:vector>
  </HeadingPairs>
  <TitlesOfParts>
    <vt:vector size="44" baseType="lpstr">
      <vt:lpstr>COVER</vt:lpstr>
      <vt:lpstr>DESKRIPSI PROYEK</vt:lpstr>
      <vt:lpstr>PROFIL</vt:lpstr>
      <vt:lpstr>IDENTITAS</vt:lpstr>
      <vt:lpstr>Data Siswa</vt:lpstr>
      <vt:lpstr>ISI1</vt:lpstr>
      <vt:lpstr>PROYEK1</vt:lpstr>
      <vt:lpstr>PENILAIAN1</vt:lpstr>
      <vt:lpstr>CAT1</vt:lpstr>
      <vt:lpstr>Sheet6</vt:lpstr>
      <vt:lpstr>Sheet5</vt:lpstr>
      <vt:lpstr>Sheet4</vt:lpstr>
      <vt:lpstr>Sheet3</vt:lpstr>
      <vt:lpstr>Sheet2</vt:lpstr>
      <vt:lpstr>Sheet1</vt:lpstr>
      <vt:lpstr>RAPOR</vt:lpstr>
      <vt:lpstr>ISI2</vt:lpstr>
      <vt:lpstr>PROYEK2</vt:lpstr>
      <vt:lpstr>PENILAIAN2</vt:lpstr>
      <vt:lpstr>ISI3</vt:lpstr>
      <vt:lpstr>PROYEK3</vt:lpstr>
      <vt:lpstr>PENILAIAN3</vt:lpstr>
      <vt:lpstr>ISI4</vt:lpstr>
      <vt:lpstr>PROYEK4</vt:lpstr>
      <vt:lpstr>PENILAIAN4</vt:lpstr>
      <vt:lpstr>ISI5</vt:lpstr>
      <vt:lpstr>PROYEK5</vt:lpstr>
      <vt:lpstr>PENILAIAN5</vt:lpstr>
      <vt:lpstr>ISI6</vt:lpstr>
      <vt:lpstr>PROYEK6</vt:lpstr>
      <vt:lpstr>PENILAIAN6</vt:lpstr>
      <vt:lpstr>DIMEL</vt:lpstr>
      <vt:lpstr>ELSUBFASE</vt:lpstr>
      <vt:lpstr>RAWDATA</vt:lpstr>
      <vt:lpstr>Macro3</vt:lpstr>
      <vt:lpstr>Macro2</vt:lpstr>
      <vt:lpstr>Macro1</vt:lpstr>
      <vt:lpstr>Bergotong_Royong</vt:lpstr>
      <vt:lpstr>Beriman__Bertakwa_Kepada_Tuhan_Yang_Maha_Esa__dan_Berakhlak_Mulia</vt:lpstr>
      <vt:lpstr>Berkebhinekaan_Global</vt:lpstr>
      <vt:lpstr>Bernalar_Kritis</vt:lpstr>
      <vt:lpstr>Kreatif</vt:lpstr>
      <vt:lpstr>Mandiri</vt:lpstr>
      <vt:lpstr>RAPOR!Print_Area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pKyouka</cp:lastModifiedBy>
  <cp:lastPrinted>2022-05-11T02:20:36Z</cp:lastPrinted>
  <dcterms:created xsi:type="dcterms:W3CDTF">2022-03-30T13:19:04Z</dcterms:created>
  <dcterms:modified xsi:type="dcterms:W3CDTF">2022-11-16T11:41:24Z</dcterms:modified>
</cp:coreProperties>
</file>